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isonhill/Ai/Seeds/"/>
    </mc:Choice>
  </mc:AlternateContent>
  <xr:revisionPtr revIDLastSave="0" documentId="13_ncr:1_{B8A067D3-CEA9-E14B-837D-BED1731DC75A}" xr6:coauthVersionLast="47" xr6:coauthVersionMax="47" xr10:uidLastSave="{00000000-0000-0000-0000-000000000000}"/>
  <bookViews>
    <workbookView xWindow="8080" yWindow="660" windowWidth="22160" windowHeight="17980" activeTab="2" xr2:uid="{2C187B29-F4DF-7C45-9F4B-76CC820FDC60}"/>
  </bookViews>
  <sheets>
    <sheet name="2026 Seed Starting Information" sheetId="4" r:id="rId1"/>
    <sheet name="2026 Season Costs" sheetId="3" r:id="rId2"/>
    <sheet name="2025 Seed Starting Information" sheetId="1" r:id="rId3"/>
    <sheet name="2025 Season Cost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2" i="2"/>
  <c r="E2" i="4"/>
  <c r="E3" i="4"/>
  <c r="E4" i="4"/>
  <c r="E22" i="4"/>
  <c r="E23" i="4"/>
  <c r="E24" i="4"/>
  <c r="D2" i="3"/>
  <c r="D3" i="3"/>
  <c r="D4" i="3"/>
  <c r="D5" i="3"/>
  <c r="D6" i="3"/>
  <c r="D7" i="3"/>
  <c r="D8" i="3"/>
  <c r="D9" i="3"/>
  <c r="D10" i="3"/>
  <c r="I2" i="3"/>
  <c r="I3" i="3"/>
  <c r="I4" i="3"/>
  <c r="I5" i="3"/>
  <c r="I8" i="3"/>
  <c r="L44" i="4"/>
  <c r="H44" i="4"/>
  <c r="G44" i="4"/>
  <c r="C44" i="4"/>
  <c r="I29" i="3"/>
  <c r="D29" i="3"/>
  <c r="I28" i="3"/>
  <c r="D28" i="3"/>
  <c r="I27" i="3"/>
  <c r="D27" i="3"/>
  <c r="I26" i="3"/>
  <c r="D26" i="3"/>
  <c r="I25" i="3"/>
  <c r="D25" i="3"/>
  <c r="I24" i="3"/>
  <c r="D24" i="3"/>
  <c r="I23" i="3"/>
  <c r="D23" i="3"/>
  <c r="I22" i="3"/>
  <c r="D22" i="3"/>
  <c r="I21" i="3"/>
  <c r="D21" i="3"/>
  <c r="I20" i="3"/>
  <c r="D20" i="3"/>
  <c r="I19" i="3"/>
  <c r="D19" i="3"/>
  <c r="I18" i="3"/>
  <c r="D18" i="3"/>
  <c r="I17" i="3"/>
  <c r="D17" i="3"/>
  <c r="I16" i="3"/>
  <c r="D16" i="3"/>
  <c r="I15" i="3"/>
  <c r="D15" i="3"/>
  <c r="I14" i="3"/>
  <c r="D14" i="3"/>
  <c r="I13" i="3"/>
  <c r="D13" i="3"/>
  <c r="I12" i="3"/>
  <c r="D12" i="3"/>
  <c r="I11" i="3"/>
  <c r="D11" i="3"/>
  <c r="I10" i="3"/>
  <c r="I9" i="3"/>
  <c r="I7" i="3"/>
  <c r="I6" i="3"/>
  <c r="L32" i="1"/>
  <c r="F44" i="1"/>
  <c r="G44" i="1"/>
  <c r="E25" i="4" l="1"/>
  <c r="I30" i="3"/>
  <c r="I31" i="3"/>
  <c r="D30" i="3"/>
  <c r="D32" i="3" s="1"/>
  <c r="L3" i="3" s="1"/>
  <c r="M4" i="1"/>
  <c r="M5" i="1"/>
  <c r="M6" i="1"/>
  <c r="M7" i="1"/>
  <c r="M8" i="1"/>
  <c r="M9" i="1"/>
  <c r="M10" i="1"/>
  <c r="M11" i="1"/>
  <c r="M3" i="1"/>
  <c r="B44" i="1"/>
  <c r="L31" i="1"/>
  <c r="K44" i="1"/>
  <c r="I30" i="2"/>
  <c r="I32" i="2" s="1"/>
  <c r="I32" i="3" l="1"/>
  <c r="L2" i="3" s="1"/>
  <c r="G30" i="1"/>
  <c r="G33" i="1"/>
  <c r="G31" i="1"/>
  <c r="G32" i="1"/>
  <c r="I8" i="2"/>
  <c r="I3" i="2"/>
  <c r="I31" i="2" s="1"/>
  <c r="I4" i="2"/>
  <c r="I5" i="2"/>
  <c r="I6" i="2"/>
  <c r="I7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2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" i="1"/>
  <c r="D4" i="1"/>
  <c r="D5" i="1"/>
  <c r="D6" i="1"/>
  <c r="D7" i="1"/>
  <c r="D8" i="1"/>
  <c r="D9" i="1"/>
  <c r="D10" i="1"/>
  <c r="D16" i="1"/>
  <c r="D2" i="1"/>
  <c r="D25" i="1" l="1"/>
  <c r="D30" i="2"/>
  <c r="D32" i="2" s="1"/>
</calcChain>
</file>

<file path=xl/sharedStrings.xml><?xml version="1.0" encoding="utf-8"?>
<sst xmlns="http://schemas.openxmlformats.org/spreadsheetml/2006/main" count="233" uniqueCount="126">
  <si>
    <t>Plant Name</t>
  </si>
  <si>
    <t>Seeds</t>
  </si>
  <si>
    <t>Packets</t>
  </si>
  <si>
    <t>Total Seeds</t>
  </si>
  <si>
    <t>Days to Germinate</t>
  </si>
  <si>
    <t>Days to Flower</t>
  </si>
  <si>
    <t>Flowering Season</t>
  </si>
  <si>
    <t>Late Spring, Summer, Fall</t>
  </si>
  <si>
    <t>14-21 days</t>
  </si>
  <si>
    <t>10-21 days</t>
  </si>
  <si>
    <t>Spring, Early Summer</t>
  </si>
  <si>
    <t>4-14 days</t>
  </si>
  <si>
    <t>5-20 days</t>
  </si>
  <si>
    <t>7-14 days</t>
  </si>
  <si>
    <t>Total</t>
  </si>
  <si>
    <t>2/26 - 3/18</t>
  </si>
  <si>
    <t>4/29 - 5/20</t>
  </si>
  <si>
    <r>
      <t xml:space="preserve">Pansy - </t>
    </r>
    <r>
      <rPr>
        <i/>
        <sz val="12"/>
        <color theme="9" tint="-0.499984740745262"/>
        <rFont val="Calibri"/>
        <family val="2"/>
        <scheme val="minor"/>
      </rPr>
      <t>Nature Antique Shades</t>
    </r>
  </si>
  <si>
    <r>
      <t xml:space="preserve">Snapdragon - </t>
    </r>
    <r>
      <rPr>
        <i/>
        <sz val="12"/>
        <color theme="9" tint="-0.499984740745262"/>
        <rFont val="Calibri"/>
        <family val="2"/>
        <scheme val="minor"/>
      </rPr>
      <t>Twinny Bronze Shades</t>
    </r>
  </si>
  <si>
    <r>
      <t xml:space="preserve">Black-Eyed Susan Vine - </t>
    </r>
    <r>
      <rPr>
        <i/>
        <sz val="12"/>
        <color theme="9" tint="-0.499984740745262"/>
        <rFont val="Calibri"/>
        <family val="2"/>
        <scheme val="minor"/>
      </rPr>
      <t>Susie Mix</t>
    </r>
  </si>
  <si>
    <r>
      <t xml:space="preserve">Geranium - </t>
    </r>
    <r>
      <rPr>
        <i/>
        <sz val="12"/>
        <color theme="9" tint="-0.499984740745262"/>
        <rFont val="Calibri"/>
        <family val="2"/>
        <scheme val="minor"/>
      </rPr>
      <t>Maverick Apple Blossom</t>
    </r>
  </si>
  <si>
    <r>
      <t xml:space="preserve">Geranium - </t>
    </r>
    <r>
      <rPr>
        <i/>
        <sz val="12"/>
        <color theme="9" tint="-0.499984740745262"/>
        <rFont val="Calibri"/>
        <family val="2"/>
        <scheme val="minor"/>
      </rPr>
      <t>Maverick Star</t>
    </r>
  </si>
  <si>
    <r>
      <t xml:space="preserve">Geranium - </t>
    </r>
    <r>
      <rPr>
        <i/>
        <sz val="12"/>
        <color theme="9" tint="-0.499984740745262"/>
        <rFont val="Calibri"/>
        <family val="2"/>
        <scheme val="minor"/>
      </rPr>
      <t>Tornado Mix Ivy</t>
    </r>
  </si>
  <si>
    <r>
      <t xml:space="preserve">Marigold - </t>
    </r>
    <r>
      <rPr>
        <i/>
        <sz val="12"/>
        <color theme="9" tint="-0.499984740745262"/>
        <rFont val="Calibri"/>
        <family val="2"/>
        <scheme val="minor"/>
      </rPr>
      <t>Alumia Crème Brulee</t>
    </r>
  </si>
  <si>
    <r>
      <t xml:space="preserve">Marigold - </t>
    </r>
    <r>
      <rPr>
        <i/>
        <sz val="12"/>
        <color theme="9" tint="-0.499984740745262"/>
        <rFont val="Calibri"/>
        <family val="2"/>
        <scheme val="minor"/>
      </rPr>
      <t>Strawberry Blonde</t>
    </r>
  </si>
  <si>
    <r>
      <t xml:space="preserve">Coleus - </t>
    </r>
    <r>
      <rPr>
        <i/>
        <sz val="12"/>
        <color theme="9" tint="-0.499984740745262"/>
        <rFont val="Calibri"/>
        <family val="2"/>
        <scheme val="minor"/>
      </rPr>
      <t>Fairway Rose</t>
    </r>
  </si>
  <si>
    <t>Transplant Outside</t>
  </si>
  <si>
    <t>Start Seeds</t>
  </si>
  <si>
    <t>Summer to Frost</t>
  </si>
  <si>
    <t>2/12 - 3/4</t>
  </si>
  <si>
    <t>4/29 - 5/13</t>
  </si>
  <si>
    <r>
      <t xml:space="preserve">Bacopa - </t>
    </r>
    <r>
      <rPr>
        <i/>
        <sz val="12"/>
        <color theme="9" tint="-0.499984740745262"/>
        <rFont val="Calibri"/>
        <family val="2"/>
        <scheme val="minor"/>
      </rPr>
      <t>Blutopia</t>
    </r>
    <r>
      <rPr>
        <sz val="12"/>
        <color theme="9" tint="-0.499984740745262"/>
        <rFont val="Calibri"/>
        <family val="2"/>
        <scheme val="minor"/>
      </rPr>
      <t>*</t>
    </r>
  </si>
  <si>
    <t>* Blutopia multi-pelleted seed contains 5-6 seeds each</t>
  </si>
  <si>
    <t>After all danger of frost</t>
  </si>
  <si>
    <t>** Average last frost: April 15th</t>
  </si>
  <si>
    <t>4/29 - 5/27 **</t>
  </si>
  <si>
    <t>Mid-late spring, after all danger of frost</t>
  </si>
  <si>
    <t>1/21 - 2/4</t>
  </si>
  <si>
    <t>Spring, Summer, Fall</t>
  </si>
  <si>
    <t>12/24 - 1/21</t>
  </si>
  <si>
    <t>2/4 - 2/18</t>
  </si>
  <si>
    <t>10-14 days</t>
  </si>
  <si>
    <t>2/18 - 3/4</t>
  </si>
  <si>
    <t>Mature Size</t>
  </si>
  <si>
    <t>Cost</t>
  </si>
  <si>
    <t>Total Seed Price</t>
  </si>
  <si>
    <t>Seed Price</t>
  </si>
  <si>
    <t>Shipping</t>
  </si>
  <si>
    <t>Quantity</t>
  </si>
  <si>
    <t>Material</t>
  </si>
  <si>
    <t>Sales Tax</t>
  </si>
  <si>
    <t>Total Material Price</t>
  </si>
  <si>
    <t>Seed Tray</t>
  </si>
  <si>
    <t>Humidity Dome</t>
  </si>
  <si>
    <t>3"x 3" Seed Cell (18/sheet)</t>
  </si>
  <si>
    <t>2"x 2" Seed Cell (36/sheet)</t>
  </si>
  <si>
    <t>Mother Linear 32 Grow Light</t>
  </si>
  <si>
    <t>Total Seeds:</t>
  </si>
  <si>
    <t>Mailbox Bed:</t>
  </si>
  <si>
    <t>Flower</t>
  </si>
  <si>
    <t>Total Plants</t>
  </si>
  <si>
    <t>Snapdragon</t>
  </si>
  <si>
    <t>Pansy (x2)</t>
  </si>
  <si>
    <t>Snapdragon (x2)</t>
  </si>
  <si>
    <t>8"W x 12"H</t>
  </si>
  <si>
    <t>Large sidelight planters:</t>
  </si>
  <si>
    <t>Back yard hanging baskets:</t>
  </si>
  <si>
    <t>Susie Mix (x2)</t>
  </si>
  <si>
    <t>Large 16" planters (3):</t>
  </si>
  <si>
    <t>Bluetopia Bacopa</t>
  </si>
  <si>
    <t>Pansies</t>
  </si>
  <si>
    <t xml:space="preserve">      For the Hill Family</t>
  </si>
  <si>
    <t>Date Planted</t>
  </si>
  <si>
    <t>2/22/2025, 2/23/2025</t>
  </si>
  <si>
    <t>2025 Germination Rate</t>
  </si>
  <si>
    <t>11/11</t>
  </si>
  <si>
    <t>2</t>
  </si>
  <si>
    <t>7/15</t>
  </si>
  <si>
    <t>10/11</t>
  </si>
  <si>
    <t>n/a</t>
  </si>
  <si>
    <t>Kendall</t>
  </si>
  <si>
    <t>Hill</t>
  </si>
  <si>
    <t>Korman</t>
  </si>
  <si>
    <t>Maverick Geranium</t>
  </si>
  <si>
    <t>Ibarra</t>
  </si>
  <si>
    <t>Ivy Geranium</t>
  </si>
  <si>
    <t>(2/square, 3 by mailbox)</t>
  </si>
  <si>
    <t>Total: 10</t>
  </si>
  <si>
    <t>First Flowers</t>
  </si>
  <si>
    <t>Marigold - Bonanza Deep Orange</t>
  </si>
  <si>
    <t>Marigold - Lemon Drop</t>
  </si>
  <si>
    <t>Marigold - Proud Mari Mix</t>
  </si>
  <si>
    <t>Miracle Grow Seed Starter Mix</t>
  </si>
  <si>
    <t>Black &amp; Gold Seed Starter Mix</t>
  </si>
  <si>
    <t>Marigolds</t>
  </si>
  <si>
    <t>15 front, 12 back, +5 pom pom Marigolds</t>
  </si>
  <si>
    <t>2/4</t>
  </si>
  <si>
    <t>Standard Geranium (2)</t>
  </si>
  <si>
    <t>Trailing Geranium (2)</t>
  </si>
  <si>
    <t>Multibloom Geranium</t>
  </si>
  <si>
    <t>Total: __ White</t>
  </si>
  <si>
    <t>Total: __ Red</t>
  </si>
  <si>
    <t>Trailing Petunia</t>
  </si>
  <si>
    <t>Total: __</t>
  </si>
  <si>
    <t>Large 16" planter (1) at front door:</t>
  </si>
  <si>
    <t>Large 16" planters (2) at back patio:</t>
  </si>
  <si>
    <t>Garage/Sidewalk Path:</t>
  </si>
  <si>
    <t xml:space="preserve">* </t>
  </si>
  <si>
    <t>2026 Germination Rate</t>
  </si>
  <si>
    <t>For the Hill Family</t>
  </si>
  <si>
    <t>(final destination)</t>
  </si>
  <si>
    <t>2026 Total Cost for all plants and materials WITHOUT ONE TIME costs:</t>
  </si>
  <si>
    <t>2026 Total Cost for all seeds and materials WITH ONE TIME costs:</t>
  </si>
  <si>
    <t>(2/trough, 2 for terracotta, 2 for large white planter)</t>
  </si>
  <si>
    <t>Total: 11 dark pink</t>
  </si>
  <si>
    <t>Total: 10 light pink</t>
  </si>
  <si>
    <t>2025 Total Cost for all seeds and materials WITH ONE TIME costs:</t>
  </si>
  <si>
    <t>2025 Total Cost for all seeds and materials WITHOUT ONE TIME costs:</t>
  </si>
  <si>
    <t>Filament</t>
  </si>
  <si>
    <t>Barina Grow Lights</t>
  </si>
  <si>
    <t>Alice's Dream Tomatoes</t>
  </si>
  <si>
    <t>Spider Plant</t>
  </si>
  <si>
    <t>2/11 - 2/28</t>
  </si>
  <si>
    <t>Outcome</t>
  </si>
  <si>
    <t>Notes</t>
  </si>
  <si>
    <t>Repeat?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</si>
</sst>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/dd/yy;@"/>
  </numFmts>
  <fonts count="13" x14ac:knownFonts="1">
    <font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i/>
      <sz val="12"/>
      <color theme="9" tint="-0.499984740745262"/>
      <name val="Calibri"/>
      <family val="2"/>
      <scheme val="minor"/>
    </font>
    <font>
      <sz val="8"/>
      <name val="Calibri"/>
      <family val="2"/>
      <scheme val="minor"/>
    </font>
    <font>
      <sz val="12"/>
      <color theme="9" tint="0.39997558519241921"/>
      <name val="Calibri"/>
      <family val="2"/>
      <scheme val="minor"/>
    </font>
    <font>
      <b/>
      <i/>
      <sz val="12"/>
      <color theme="9" tint="0.39997558519241921"/>
      <name val="Calibri"/>
      <family val="2"/>
      <scheme val="minor"/>
    </font>
    <font>
      <i/>
      <sz val="12"/>
      <color theme="9" tint="0.3999755851924192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rgb="FF7030A0"/>
      <name val="Calibri (Body)"/>
    </font>
    <font>
      <sz val="12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uble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/>
      <diagonal/>
    </border>
    <border>
      <left/>
      <right style="thin">
        <color theme="9" tint="-0.499984740745262"/>
      </right>
      <top/>
      <bottom style="double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/>
      <diagonal/>
    </border>
    <border>
      <left style="thin">
        <color theme="9" tint="-0.499984740745262"/>
      </left>
      <right/>
      <top/>
      <bottom style="double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/>
      <top/>
      <bottom style="medium">
        <color theme="9" tint="-0.499984740745262"/>
      </bottom>
      <diagonal/>
    </border>
    <border>
      <left/>
      <right style="thin">
        <color theme="9" tint="-0.499984740745262"/>
      </right>
      <top/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/>
      <diagonal/>
    </border>
    <border>
      <left style="double">
        <color theme="9" tint="-0.499984740745262"/>
      </left>
      <right/>
      <top style="double">
        <color theme="9" tint="-0.499984740745262"/>
      </top>
      <bottom/>
      <diagonal/>
    </border>
    <border>
      <left/>
      <right style="double">
        <color theme="9" tint="-0.499984740745262"/>
      </right>
      <top style="double">
        <color theme="9" tint="-0.499984740745262"/>
      </top>
      <bottom/>
      <diagonal/>
    </border>
    <border>
      <left style="double">
        <color theme="9" tint="-0.499984740745262"/>
      </left>
      <right/>
      <top/>
      <bottom style="double">
        <color theme="9" tint="-0.499984740745262"/>
      </bottom>
      <diagonal/>
    </border>
    <border>
      <left/>
      <right style="double">
        <color theme="9" tint="-0.499984740745262"/>
      </right>
      <top/>
      <bottom style="double">
        <color theme="9" tint="-0.499984740745262"/>
      </bottom>
      <diagonal/>
    </border>
    <border>
      <left/>
      <right/>
      <top/>
      <bottom style="thin">
        <color theme="9" tint="-0.24994659260841701"/>
      </bottom>
      <diagonal/>
    </border>
    <border>
      <left/>
      <right/>
      <top/>
      <bottom style="double">
        <color rgb="FF7030A0"/>
      </bottom>
      <diagonal/>
    </border>
    <border>
      <left/>
      <right/>
      <top style="double">
        <color theme="9" tint="-0.499984740745262"/>
      </top>
      <bottom/>
      <diagonal/>
    </border>
    <border>
      <left/>
      <right style="thin">
        <color theme="9" tint="-0.499984740745262"/>
      </right>
      <top style="double">
        <color theme="9" tint="-0.499984740745262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8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2" fillId="0" borderId="0" xfId="0" applyFont="1"/>
    <xf numFmtId="16" fontId="2" fillId="2" borderId="0" xfId="0" applyNumberFormat="1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164" fontId="2" fillId="2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right" vertical="center"/>
    </xf>
    <xf numFmtId="164" fontId="1" fillId="2" borderId="15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right" vertical="center"/>
    </xf>
    <xf numFmtId="164" fontId="1" fillId="2" borderId="17" xfId="0" applyNumberFormat="1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5" xfId="0" applyFont="1" applyFill="1" applyBorder="1"/>
    <xf numFmtId="164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5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18" xfId="0" applyFont="1" applyBorder="1" applyAlignment="1">
      <alignment horizontal="left"/>
    </xf>
    <xf numFmtId="0" fontId="2" fillId="2" borderId="3" xfId="0" quotePrefix="1" applyFont="1" applyFill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/>
    </xf>
    <xf numFmtId="0" fontId="2" fillId="2" borderId="5" xfId="1" applyNumberFormat="1" applyFont="1" applyFill="1" applyBorder="1" applyAlignment="1">
      <alignment horizontal="center" vertical="center"/>
    </xf>
    <xf numFmtId="0" fontId="2" fillId="2" borderId="3" xfId="1" applyNumberFormat="1" applyFont="1" applyFill="1" applyBorder="1"/>
    <xf numFmtId="0" fontId="2" fillId="2" borderId="5" xfId="1" applyNumberFormat="1" applyFont="1" applyFill="1" applyBorder="1"/>
    <xf numFmtId="0" fontId="9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19" xfId="0" applyFont="1" applyBorder="1"/>
    <xf numFmtId="0" fontId="10" fillId="0" borderId="19" xfId="0" applyFont="1" applyBorder="1" applyAlignment="1">
      <alignment horizontal="right"/>
    </xf>
    <xf numFmtId="0" fontId="10" fillId="0" borderId="19" xfId="0" applyFont="1" applyBorder="1" applyAlignment="1">
      <alignment horizontal="center"/>
    </xf>
    <xf numFmtId="0" fontId="11" fillId="0" borderId="0" xfId="0" applyFont="1" applyAlignment="1">
      <alignment horizontal="right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/>
    <xf numFmtId="14" fontId="0" fillId="0" borderId="0" xfId="0" applyNumberFormat="1"/>
    <xf numFmtId="165" fontId="2" fillId="2" borderId="0" xfId="0" applyNumberFormat="1" applyFont="1" applyFill="1" applyAlignment="1">
      <alignment horizontal="center" vertical="center"/>
    </xf>
    <xf numFmtId="0" fontId="2" fillId="2" borderId="10" xfId="0" applyFont="1" applyFill="1" applyBorder="1"/>
    <xf numFmtId="165" fontId="2" fillId="2" borderId="6" xfId="0" applyNumberFormat="1" applyFont="1" applyFill="1" applyBorder="1" applyAlignment="1">
      <alignment horizontal="center" vertical="center"/>
    </xf>
    <xf numFmtId="165" fontId="2" fillId="2" borderId="8" xfId="0" applyNumberFormat="1" applyFont="1" applyFill="1" applyBorder="1" applyAlignment="1">
      <alignment horizontal="center" vertical="center"/>
    </xf>
    <xf numFmtId="165" fontId="2" fillId="2" borderId="6" xfId="0" applyNumberFormat="1" applyFont="1" applyFill="1" applyBorder="1"/>
    <xf numFmtId="165" fontId="2" fillId="2" borderId="8" xfId="0" applyNumberFormat="1" applyFont="1" applyFill="1" applyBorder="1"/>
    <xf numFmtId="165" fontId="2" fillId="2" borderId="20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/>
    <xf numFmtId="165" fontId="2" fillId="2" borderId="2" xfId="0" applyNumberFormat="1" applyFont="1" applyFill="1" applyBorder="1"/>
    <xf numFmtId="0" fontId="2" fillId="2" borderId="2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7" fillId="0" borderId="0" xfId="0" quotePrefix="1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 vertical="center"/>
    </xf>
    <xf numFmtId="0" fontId="6" fillId="0" borderId="18" xfId="0" applyFont="1" applyBorder="1" applyAlignment="1">
      <alignment horizontal="center"/>
    </xf>
    <xf numFmtId="0" fontId="0" fillId="0" borderId="19" xfId="0" applyBorder="1"/>
    <xf numFmtId="0" fontId="1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3444-96B1-9049-A099-53ACCD809BCD}">
  <dimension ref="A1:T44"/>
  <sheetViews>
    <sheetView workbookViewId="0">
      <pane xSplit="2" topLeftCell="N1" activePane="topRight" state="frozen"/>
      <selection pane="topRight" activeCell="P1" sqref="P1:R1"/>
    </sheetView>
  </sheetViews>
  <sheetFormatPr baseColWidth="10" defaultRowHeight="16" x14ac:dyDescent="0.2"/>
  <cols>
    <col min="2" max="2" width="39.6640625" bestFit="1" customWidth="1"/>
    <col min="5" max="5" width="11" customWidth="1"/>
    <col min="6" max="6" width="29.6640625" customWidth="1"/>
    <col min="7" max="7" width="17.5" customWidth="1"/>
    <col min="8" max="8" width="15" customWidth="1"/>
    <col min="9" max="9" width="11.1640625" customWidth="1"/>
    <col min="10" max="10" width="32.83203125" customWidth="1"/>
    <col min="11" max="11" width="34.1640625" customWidth="1"/>
    <col min="12" max="12" width="24" customWidth="1"/>
    <col min="13" max="13" width="23.1640625" customWidth="1"/>
    <col min="14" max="14" width="14.33203125" customWidth="1"/>
    <col min="15" max="15" width="24" customWidth="1"/>
    <col min="16" max="17" width="13.6640625" customWidth="1"/>
    <col min="18" max="18" width="19.33203125" bestFit="1" customWidth="1"/>
    <col min="19" max="19" width="11.6640625" bestFit="1" customWidth="1"/>
    <col min="20" max="20" width="13.5" customWidth="1"/>
  </cols>
  <sheetData>
    <row r="1" spans="1:20" ht="17" thickBot="1" x14ac:dyDescent="0.25">
      <c r="B1" s="5" t="s">
        <v>0</v>
      </c>
      <c r="C1" s="3" t="s">
        <v>1</v>
      </c>
      <c r="D1" s="3" t="s">
        <v>2</v>
      </c>
      <c r="E1" s="5" t="s">
        <v>3</v>
      </c>
      <c r="F1" s="5" t="s">
        <v>6</v>
      </c>
      <c r="G1" s="3" t="s">
        <v>4</v>
      </c>
      <c r="H1" s="5" t="s">
        <v>14</v>
      </c>
      <c r="I1" s="3" t="s">
        <v>27</v>
      </c>
      <c r="J1" s="3" t="s">
        <v>26</v>
      </c>
      <c r="K1" s="14" t="s">
        <v>43</v>
      </c>
      <c r="L1" s="14" t="s">
        <v>72</v>
      </c>
      <c r="M1" s="3" t="s">
        <v>88</v>
      </c>
      <c r="N1" s="3" t="s">
        <v>5</v>
      </c>
      <c r="O1" s="14" t="s">
        <v>108</v>
      </c>
      <c r="P1" s="86" t="s">
        <v>123</v>
      </c>
      <c r="Q1" s="86" t="s">
        <v>124</v>
      </c>
      <c r="R1" s="86" t="s">
        <v>125</v>
      </c>
    </row>
    <row r="2" spans="1:20" ht="17" thickTop="1" x14ac:dyDescent="0.2">
      <c r="A2">
        <v>2601</v>
      </c>
      <c r="B2" s="6" t="s">
        <v>120</v>
      </c>
      <c r="C2" s="1">
        <v>11</v>
      </c>
      <c r="D2" s="1">
        <v>1</v>
      </c>
      <c r="E2" s="9">
        <f>C2*D2</f>
        <v>11</v>
      </c>
      <c r="F2" s="9"/>
      <c r="G2" s="1" t="s">
        <v>8</v>
      </c>
      <c r="H2" s="9"/>
      <c r="I2" s="1" t="s">
        <v>122</v>
      </c>
      <c r="J2" s="1" t="s">
        <v>16</v>
      </c>
      <c r="K2" s="15"/>
      <c r="L2" s="67">
        <v>46068</v>
      </c>
      <c r="M2" s="71"/>
      <c r="N2" s="75"/>
      <c r="O2" s="9"/>
      <c r="P2" s="50"/>
    </row>
    <row r="3" spans="1:20" x14ac:dyDescent="0.2">
      <c r="A3">
        <v>2602</v>
      </c>
      <c r="B3" s="7" t="s">
        <v>121</v>
      </c>
      <c r="C3" s="4">
        <v>3</v>
      </c>
      <c r="D3" s="4">
        <v>1</v>
      </c>
      <c r="E3" s="10">
        <f>C3*D3</f>
        <v>3</v>
      </c>
      <c r="F3" s="10"/>
      <c r="G3" s="4"/>
      <c r="H3" s="10"/>
      <c r="I3" s="4"/>
      <c r="J3" s="4"/>
      <c r="K3" s="16"/>
      <c r="L3" s="68"/>
      <c r="M3" s="72"/>
      <c r="N3" s="10"/>
      <c r="O3" s="49"/>
      <c r="P3" s="51"/>
    </row>
    <row r="4" spans="1:20" x14ac:dyDescent="0.2">
      <c r="A4">
        <v>2603</v>
      </c>
      <c r="B4" s="6" t="s">
        <v>25</v>
      </c>
      <c r="C4" s="1">
        <v>9</v>
      </c>
      <c r="D4" s="1">
        <v>1</v>
      </c>
      <c r="E4" s="9">
        <f t="shared" ref="E4" si="0">C4*D4</f>
        <v>9</v>
      </c>
      <c r="F4" s="9" t="s">
        <v>7</v>
      </c>
      <c r="G4" s="1" t="s">
        <v>41</v>
      </c>
      <c r="H4" s="9"/>
      <c r="I4" s="1" t="s">
        <v>42</v>
      </c>
      <c r="J4" s="1" t="s">
        <v>35</v>
      </c>
      <c r="K4" s="15"/>
      <c r="L4" s="67"/>
      <c r="M4" s="65"/>
      <c r="N4" s="9"/>
      <c r="O4" s="48"/>
      <c r="P4" s="50"/>
    </row>
    <row r="5" spans="1:20" x14ac:dyDescent="0.2">
      <c r="B5" s="82"/>
      <c r="C5" s="1"/>
      <c r="D5" s="1"/>
      <c r="E5" s="9"/>
      <c r="F5" s="9"/>
      <c r="G5" s="1"/>
      <c r="H5" s="9"/>
      <c r="I5" s="13"/>
      <c r="J5" s="1"/>
      <c r="K5" s="15"/>
      <c r="L5" s="67"/>
      <c r="M5" s="65"/>
      <c r="N5" s="9"/>
      <c r="O5" s="48"/>
      <c r="P5" s="50"/>
    </row>
    <row r="6" spans="1:20" x14ac:dyDescent="0.2">
      <c r="B6" s="82"/>
      <c r="C6" s="1"/>
      <c r="D6" s="1"/>
      <c r="E6" s="9"/>
      <c r="F6" s="9"/>
      <c r="G6" s="1"/>
      <c r="H6" s="9"/>
      <c r="I6" s="13"/>
      <c r="J6" s="1"/>
      <c r="K6" s="15"/>
      <c r="L6" s="67"/>
      <c r="M6" s="65"/>
      <c r="N6" s="9"/>
      <c r="O6" s="48"/>
      <c r="P6" s="50"/>
    </row>
    <row r="7" spans="1:20" x14ac:dyDescent="0.2">
      <c r="B7" s="6"/>
      <c r="C7" s="1"/>
      <c r="D7" s="1"/>
      <c r="E7" s="9"/>
      <c r="F7" s="9"/>
      <c r="G7" s="1"/>
      <c r="H7" s="9"/>
      <c r="I7" s="1"/>
      <c r="J7" s="1"/>
      <c r="K7" s="15"/>
      <c r="L7" s="67"/>
      <c r="M7" s="65"/>
      <c r="N7" s="9"/>
      <c r="O7" s="9"/>
      <c r="P7" s="50"/>
      <c r="R7" s="62"/>
      <c r="S7" s="64"/>
      <c r="T7" s="77"/>
    </row>
    <row r="8" spans="1:20" x14ac:dyDescent="0.2">
      <c r="B8" s="6"/>
      <c r="C8" s="1"/>
      <c r="D8" s="1"/>
      <c r="E8" s="9"/>
      <c r="F8" s="9"/>
      <c r="G8" s="1"/>
      <c r="H8" s="9"/>
      <c r="I8" s="1"/>
      <c r="J8" s="1"/>
      <c r="K8" s="15"/>
      <c r="L8" s="67"/>
      <c r="M8" s="65"/>
      <c r="N8" s="9"/>
      <c r="O8" s="9"/>
      <c r="P8" s="50"/>
      <c r="R8" s="62"/>
      <c r="S8" s="64"/>
      <c r="T8" s="77"/>
    </row>
    <row r="9" spans="1:20" x14ac:dyDescent="0.2">
      <c r="B9" s="6"/>
      <c r="C9" s="1"/>
      <c r="D9" s="1"/>
      <c r="E9" s="9"/>
      <c r="F9" s="9"/>
      <c r="G9" s="1"/>
      <c r="H9" s="9"/>
      <c r="I9" s="1"/>
      <c r="J9" s="1"/>
      <c r="K9" s="15"/>
      <c r="L9" s="67"/>
      <c r="M9" s="65"/>
      <c r="N9" s="9"/>
      <c r="O9" s="9"/>
      <c r="P9" s="50"/>
      <c r="Q9" s="62"/>
      <c r="R9" s="63"/>
    </row>
    <row r="10" spans="1:20" x14ac:dyDescent="0.2">
      <c r="B10" s="6"/>
      <c r="C10" s="1"/>
      <c r="D10" s="1"/>
      <c r="E10" s="9"/>
      <c r="F10" s="9"/>
      <c r="G10" s="1"/>
      <c r="H10" s="9"/>
      <c r="I10" s="1"/>
      <c r="J10" s="1"/>
      <c r="K10" s="15"/>
      <c r="L10" s="67"/>
      <c r="M10" s="65"/>
      <c r="N10" s="9"/>
      <c r="O10" s="9"/>
      <c r="P10" s="50"/>
      <c r="Q10" s="62"/>
      <c r="R10" s="63"/>
    </row>
    <row r="11" spans="1:20" x14ac:dyDescent="0.2">
      <c r="B11" s="83"/>
      <c r="C11" s="1"/>
      <c r="D11" s="1"/>
      <c r="E11" s="9"/>
      <c r="F11" s="9"/>
      <c r="G11" s="1"/>
      <c r="H11" s="9"/>
      <c r="I11" s="1"/>
      <c r="J11" s="1"/>
      <c r="K11" s="15"/>
      <c r="L11" s="67"/>
      <c r="M11" s="65"/>
      <c r="N11" s="9"/>
      <c r="O11" s="9"/>
      <c r="P11" s="50"/>
      <c r="Q11" s="62"/>
      <c r="R11" s="63"/>
    </row>
    <row r="12" spans="1:20" x14ac:dyDescent="0.2">
      <c r="B12" s="83"/>
      <c r="C12" s="1"/>
      <c r="D12" s="1"/>
      <c r="E12" s="9"/>
      <c r="F12" s="9"/>
      <c r="G12" s="1"/>
      <c r="H12" s="9"/>
      <c r="I12" s="1"/>
      <c r="J12" s="1"/>
      <c r="K12" s="15"/>
      <c r="L12" s="67"/>
      <c r="M12" s="65"/>
      <c r="N12" s="9"/>
      <c r="O12" s="9"/>
      <c r="P12" s="50"/>
      <c r="Q12" s="62"/>
      <c r="R12" s="63"/>
    </row>
    <row r="13" spans="1:20" x14ac:dyDescent="0.2">
      <c r="B13" s="6"/>
      <c r="C13" s="1"/>
      <c r="D13" s="1"/>
      <c r="E13" s="9"/>
      <c r="F13" s="9"/>
      <c r="G13" s="1"/>
      <c r="H13" s="9"/>
      <c r="I13" s="1"/>
      <c r="J13" s="1"/>
      <c r="K13" s="15"/>
      <c r="L13" s="67"/>
      <c r="M13" s="65"/>
      <c r="N13" s="9"/>
      <c r="O13" s="9"/>
      <c r="P13" s="50"/>
      <c r="Q13" s="62"/>
      <c r="R13" s="63"/>
    </row>
    <row r="14" spans="1:20" x14ac:dyDescent="0.2">
      <c r="B14" s="6"/>
      <c r="C14" s="1"/>
      <c r="D14" s="1"/>
      <c r="E14" s="9"/>
      <c r="F14" s="9"/>
      <c r="G14" s="1"/>
      <c r="H14" s="9"/>
      <c r="I14" s="1"/>
      <c r="J14" s="1"/>
      <c r="K14" s="15"/>
      <c r="L14" s="67"/>
      <c r="M14" s="65"/>
      <c r="N14" s="9"/>
      <c r="O14" s="9"/>
      <c r="P14" s="50"/>
      <c r="Q14" s="62"/>
    </row>
    <row r="15" spans="1:20" x14ac:dyDescent="0.2">
      <c r="B15" s="7"/>
      <c r="C15" s="4"/>
      <c r="D15" s="4"/>
      <c r="E15" s="10"/>
      <c r="F15" s="10"/>
      <c r="G15" s="4"/>
      <c r="H15" s="10"/>
      <c r="I15" s="4"/>
      <c r="J15" s="4"/>
      <c r="K15" s="16"/>
      <c r="L15" s="68"/>
      <c r="M15" s="72"/>
      <c r="N15" s="10"/>
      <c r="O15" s="10"/>
      <c r="P15" s="51"/>
    </row>
    <row r="16" spans="1:20" x14ac:dyDescent="0.2">
      <c r="B16" s="6"/>
      <c r="C16" s="1"/>
      <c r="D16" s="1"/>
      <c r="E16" s="9"/>
      <c r="F16" s="9"/>
      <c r="G16" s="1"/>
      <c r="H16" s="9"/>
      <c r="I16" s="1"/>
      <c r="J16" s="1"/>
      <c r="K16" s="15"/>
      <c r="L16" s="67"/>
      <c r="M16" s="65"/>
      <c r="N16" s="9"/>
      <c r="O16" s="9"/>
      <c r="P16" s="50"/>
    </row>
    <row r="17" spans="2:16" x14ac:dyDescent="0.2">
      <c r="B17" s="83"/>
      <c r="C17" s="1"/>
      <c r="D17" s="1"/>
      <c r="E17" s="9"/>
      <c r="F17" s="9"/>
      <c r="G17" s="1"/>
      <c r="H17" s="80"/>
      <c r="I17" s="2"/>
      <c r="J17" s="2"/>
      <c r="K17" s="15"/>
      <c r="L17" s="69"/>
      <c r="M17" s="73"/>
      <c r="N17" s="11"/>
      <c r="O17" s="11"/>
      <c r="P17" s="52"/>
    </row>
    <row r="18" spans="2:16" x14ac:dyDescent="0.2">
      <c r="B18" s="83"/>
      <c r="C18" s="1"/>
      <c r="D18" s="1"/>
      <c r="E18" s="9"/>
      <c r="F18" s="9"/>
      <c r="G18" s="1"/>
      <c r="H18" s="80"/>
      <c r="I18" s="2"/>
      <c r="J18" s="2"/>
      <c r="K18" s="15"/>
      <c r="L18" s="69"/>
      <c r="M18" s="73"/>
      <c r="N18" s="11"/>
      <c r="O18" s="11"/>
      <c r="P18" s="52"/>
    </row>
    <row r="19" spans="2:16" x14ac:dyDescent="0.2">
      <c r="B19" s="83"/>
      <c r="C19" s="1"/>
      <c r="D19" s="1"/>
      <c r="E19" s="9"/>
      <c r="F19" s="9"/>
      <c r="G19" s="1"/>
      <c r="H19" s="80"/>
      <c r="I19" s="2"/>
      <c r="J19" s="2"/>
      <c r="K19" s="15"/>
      <c r="L19" s="69"/>
      <c r="M19" s="73"/>
      <c r="N19" s="11"/>
      <c r="O19" s="11"/>
      <c r="P19" s="52"/>
    </row>
    <row r="20" spans="2:16" x14ac:dyDescent="0.2">
      <c r="B20" s="6"/>
      <c r="C20" s="1"/>
      <c r="D20" s="1"/>
      <c r="E20" s="9"/>
      <c r="F20" s="9"/>
      <c r="G20" s="1"/>
      <c r="H20" s="80"/>
      <c r="I20" s="2"/>
      <c r="J20" s="2"/>
      <c r="K20" s="15"/>
      <c r="L20" s="69"/>
      <c r="M20" s="73"/>
      <c r="N20" s="11"/>
      <c r="O20" s="11"/>
      <c r="P20" s="52"/>
    </row>
    <row r="21" spans="2:16" x14ac:dyDescent="0.2">
      <c r="B21" s="6"/>
      <c r="C21" s="1"/>
      <c r="D21" s="1"/>
      <c r="E21" s="9"/>
      <c r="F21" s="9"/>
      <c r="G21" s="1"/>
      <c r="H21" s="80"/>
      <c r="I21" s="2"/>
      <c r="J21" s="2"/>
      <c r="K21" s="15"/>
      <c r="L21" s="69"/>
      <c r="M21" s="73"/>
      <c r="N21" s="11"/>
      <c r="O21" s="11"/>
      <c r="P21" s="52"/>
    </row>
    <row r="22" spans="2:16" x14ac:dyDescent="0.2">
      <c r="B22" s="6"/>
      <c r="C22" s="1"/>
      <c r="D22" s="1"/>
      <c r="E22" s="9">
        <f t="shared" ref="E22:E24" si="1">C22*D22</f>
        <v>0</v>
      </c>
      <c r="F22" s="9"/>
      <c r="G22" s="1"/>
      <c r="H22" s="80"/>
      <c r="I22" s="2"/>
      <c r="J22" s="2"/>
      <c r="K22" s="15"/>
      <c r="L22" s="69"/>
      <c r="M22" s="73"/>
      <c r="N22" s="11"/>
      <c r="O22" s="11"/>
      <c r="P22" s="52"/>
    </row>
    <row r="23" spans="2:16" x14ac:dyDescent="0.2">
      <c r="B23" s="6"/>
      <c r="C23" s="1"/>
      <c r="D23" s="1"/>
      <c r="E23" s="9">
        <f t="shared" si="1"/>
        <v>0</v>
      </c>
      <c r="F23" s="9"/>
      <c r="G23" s="1"/>
      <c r="H23" s="80"/>
      <c r="I23" s="2"/>
      <c r="J23" s="2"/>
      <c r="K23" s="15"/>
      <c r="L23" s="69"/>
      <c r="M23" s="73"/>
      <c r="N23" s="11"/>
      <c r="O23" s="11"/>
      <c r="P23" s="52"/>
    </row>
    <row r="24" spans="2:16" x14ac:dyDescent="0.2">
      <c r="B24" s="7"/>
      <c r="C24" s="4"/>
      <c r="D24" s="4"/>
      <c r="E24" s="10">
        <f t="shared" si="1"/>
        <v>0</v>
      </c>
      <c r="F24" s="10"/>
      <c r="G24" s="4"/>
      <c r="H24" s="81"/>
      <c r="I24" s="33"/>
      <c r="J24" s="33"/>
      <c r="K24" s="16"/>
      <c r="L24" s="70"/>
      <c r="M24" s="74"/>
      <c r="N24" s="34"/>
      <c r="O24" s="34"/>
      <c r="P24" s="53"/>
    </row>
    <row r="25" spans="2:16" x14ac:dyDescent="0.2">
      <c r="B25" s="22"/>
      <c r="C25" s="1"/>
      <c r="D25" s="22" t="s">
        <v>57</v>
      </c>
      <c r="E25" s="1">
        <f>SUM(E2:E24)</f>
        <v>23</v>
      </c>
      <c r="F25" s="1"/>
      <c r="G25" s="1"/>
      <c r="H25" s="2"/>
      <c r="I25" s="2"/>
      <c r="J25" s="2"/>
      <c r="K25" s="1"/>
      <c r="L25" s="66"/>
      <c r="M25" s="2"/>
      <c r="N25" s="2"/>
      <c r="O25" s="2"/>
      <c r="P25" s="2"/>
    </row>
    <row r="26" spans="2:16" x14ac:dyDescent="0.2">
      <c r="B26" s="12" t="s">
        <v>107</v>
      </c>
    </row>
    <row r="27" spans="2:16" x14ac:dyDescent="0.2">
      <c r="B27" s="12" t="s">
        <v>34</v>
      </c>
    </row>
    <row r="29" spans="2:16" x14ac:dyDescent="0.2">
      <c r="F29" s="12"/>
      <c r="G29" s="45" t="s">
        <v>59</v>
      </c>
      <c r="H29" s="45" t="s">
        <v>60</v>
      </c>
      <c r="K29" s="84" t="s">
        <v>109</v>
      </c>
      <c r="L29" s="44" t="s">
        <v>59</v>
      </c>
      <c r="M29" s="44" t="s">
        <v>60</v>
      </c>
      <c r="N29" s="44"/>
    </row>
    <row r="30" spans="2:16" x14ac:dyDescent="0.2">
      <c r="F30" s="36" t="s">
        <v>58</v>
      </c>
      <c r="G30" s="37"/>
      <c r="H30" s="37"/>
      <c r="K30" s="40" t="s">
        <v>58</v>
      </c>
      <c r="L30" s="41"/>
      <c r="M30" s="41"/>
      <c r="N30" s="41"/>
    </row>
    <row r="31" spans="2:16" x14ac:dyDescent="0.2">
      <c r="F31" s="38" t="s">
        <v>65</v>
      </c>
      <c r="G31" s="37"/>
      <c r="H31" s="37"/>
      <c r="K31" s="42" t="s">
        <v>106</v>
      </c>
      <c r="L31" s="46"/>
      <c r="M31" s="41"/>
      <c r="N31" s="41"/>
    </row>
    <row r="32" spans="2:16" x14ac:dyDescent="0.2">
      <c r="F32" s="39"/>
      <c r="G32" s="37"/>
      <c r="H32" s="37"/>
      <c r="K32" s="42" t="s">
        <v>104</v>
      </c>
      <c r="L32" s="46"/>
      <c r="M32" s="41"/>
      <c r="N32" s="41"/>
    </row>
    <row r="33" spans="2:14" x14ac:dyDescent="0.2">
      <c r="F33" s="36" t="s">
        <v>66</v>
      </c>
      <c r="G33" s="37" t="s">
        <v>102</v>
      </c>
      <c r="H33" s="37">
        <v>3</v>
      </c>
      <c r="K33" s="42" t="s">
        <v>105</v>
      </c>
      <c r="L33" s="41"/>
      <c r="M33" s="41"/>
    </row>
    <row r="34" spans="2:14" x14ac:dyDescent="0.2">
      <c r="L34" s="41"/>
      <c r="M34" s="78"/>
      <c r="N34" s="46"/>
    </row>
    <row r="35" spans="2:14" x14ac:dyDescent="0.2">
      <c r="L35" s="46"/>
      <c r="M35" s="79"/>
    </row>
    <row r="38" spans="2:14" x14ac:dyDescent="0.2">
      <c r="B38" s="54" t="s">
        <v>99</v>
      </c>
      <c r="G38" s="61" t="s">
        <v>100</v>
      </c>
      <c r="H38" s="61" t="s">
        <v>101</v>
      </c>
      <c r="K38" s="54" t="s">
        <v>102</v>
      </c>
      <c r="L38" s="76" t="s">
        <v>103</v>
      </c>
    </row>
    <row r="39" spans="2:14" x14ac:dyDescent="0.2">
      <c r="B39" s="56" t="s">
        <v>80</v>
      </c>
      <c r="C39" s="57"/>
      <c r="D39" s="55" t="s">
        <v>110</v>
      </c>
      <c r="G39" s="55"/>
      <c r="H39" s="55"/>
      <c r="I39" s="55"/>
      <c r="K39" s="56" t="s">
        <v>80</v>
      </c>
      <c r="L39" s="57"/>
    </row>
    <row r="40" spans="2:14" x14ac:dyDescent="0.2">
      <c r="B40" s="56" t="s">
        <v>81</v>
      </c>
      <c r="C40" s="57"/>
      <c r="D40" s="55" t="s">
        <v>110</v>
      </c>
      <c r="G40" s="55"/>
      <c r="H40" s="55"/>
      <c r="K40" s="56" t="s">
        <v>81</v>
      </c>
      <c r="L40" s="57"/>
    </row>
    <row r="41" spans="2:14" x14ac:dyDescent="0.2">
      <c r="B41" s="56"/>
      <c r="C41" s="57"/>
      <c r="G41" s="55"/>
      <c r="H41" s="55"/>
    </row>
    <row r="42" spans="2:14" x14ac:dyDescent="0.2">
      <c r="B42" s="56"/>
      <c r="C42" s="57"/>
      <c r="G42" s="55"/>
      <c r="H42" s="55"/>
    </row>
    <row r="43" spans="2:14" ht="17" thickBot="1" x14ac:dyDescent="0.25">
      <c r="B43" s="59"/>
      <c r="C43" s="60"/>
      <c r="G43" s="58"/>
      <c r="H43" s="58"/>
      <c r="K43" s="59"/>
      <c r="L43" s="60"/>
      <c r="M43" s="85"/>
    </row>
    <row r="44" spans="2:14" ht="17" thickTop="1" x14ac:dyDescent="0.2">
      <c r="C44" s="57">
        <f>SUM(C39:C43)</f>
        <v>0</v>
      </c>
      <c r="G44" s="55">
        <f>SUM(G39:G43)</f>
        <v>0</v>
      </c>
      <c r="H44" s="55">
        <f>SUM(H39:H43)</f>
        <v>0</v>
      </c>
      <c r="L44" s="57">
        <f>SUM(L39:L43)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51BD-F04E-044A-AFAF-3B62D57F3CF0}">
  <dimension ref="A1:L36"/>
  <sheetViews>
    <sheetView workbookViewId="0">
      <selection activeCell="A2" sqref="A2"/>
    </sheetView>
  </sheetViews>
  <sheetFormatPr baseColWidth="10" defaultRowHeight="16" x14ac:dyDescent="0.2"/>
  <cols>
    <col min="1" max="1" width="39.6640625" bestFit="1" customWidth="1"/>
    <col min="4" max="4" width="15.83203125" customWidth="1"/>
    <col min="5" max="5" width="6.6640625" customWidth="1"/>
    <col min="6" max="6" width="31" customWidth="1"/>
    <col min="7" max="7" width="14.1640625" customWidth="1"/>
    <col min="8" max="8" width="14" customWidth="1"/>
    <col min="9" max="9" width="22.83203125" customWidth="1"/>
    <col min="10" max="10" width="6.6640625" customWidth="1"/>
    <col min="11" max="11" width="61.1640625" customWidth="1"/>
  </cols>
  <sheetData>
    <row r="1" spans="1:12" ht="17" thickBot="1" x14ac:dyDescent="0.25">
      <c r="A1" s="5" t="s">
        <v>0</v>
      </c>
      <c r="B1" s="3" t="s">
        <v>44</v>
      </c>
      <c r="C1" s="3" t="s">
        <v>2</v>
      </c>
      <c r="D1" s="3" t="s">
        <v>45</v>
      </c>
      <c r="F1" s="5" t="s">
        <v>49</v>
      </c>
      <c r="G1" s="3" t="s">
        <v>44</v>
      </c>
      <c r="H1" s="3" t="s">
        <v>48</v>
      </c>
      <c r="I1" s="3" t="s">
        <v>14</v>
      </c>
    </row>
    <row r="2" spans="1:12" ht="17" thickTop="1" x14ac:dyDescent="0.2">
      <c r="A2" s="6"/>
      <c r="B2" s="19"/>
      <c r="C2" s="1"/>
      <c r="D2" s="19">
        <f>B2*C2</f>
        <v>0</v>
      </c>
      <c r="F2" s="6" t="s">
        <v>118</v>
      </c>
      <c r="G2" s="19">
        <v>13.75</v>
      </c>
      <c r="H2" s="1">
        <v>1</v>
      </c>
      <c r="I2" s="19">
        <f>G2*H2</f>
        <v>13.75</v>
      </c>
      <c r="K2" s="29" t="s">
        <v>112</v>
      </c>
      <c r="L2" s="30">
        <f>D32+I32</f>
        <v>53.393000000000001</v>
      </c>
    </row>
    <row r="3" spans="1:12" ht="17" thickBot="1" x14ac:dyDescent="0.25">
      <c r="A3" s="7"/>
      <c r="B3" s="20"/>
      <c r="C3" s="4"/>
      <c r="D3" s="20">
        <f t="shared" ref="D3:D29" si="0">B3*C3</f>
        <v>0</v>
      </c>
      <c r="F3" s="6" t="s">
        <v>119</v>
      </c>
      <c r="G3" s="19">
        <v>31</v>
      </c>
      <c r="H3" s="1">
        <v>1</v>
      </c>
      <c r="I3" s="19">
        <f t="shared" ref="I3:I29" si="1">G3*H3</f>
        <v>31</v>
      </c>
      <c r="K3" s="31" t="s">
        <v>111</v>
      </c>
      <c r="L3" s="32">
        <f>D32+((I6+I7)*1.07)</f>
        <v>5.5105000000000004</v>
      </c>
    </row>
    <row r="4" spans="1:12" ht="17" thickTop="1" x14ac:dyDescent="0.2">
      <c r="A4" s="8"/>
      <c r="B4" s="19"/>
      <c r="C4" s="1"/>
      <c r="D4" s="19">
        <f t="shared" si="0"/>
        <v>0</v>
      </c>
      <c r="F4" s="6"/>
      <c r="G4" s="19"/>
      <c r="H4" s="1"/>
      <c r="I4" s="19">
        <f t="shared" si="1"/>
        <v>0</v>
      </c>
    </row>
    <row r="5" spans="1:12" x14ac:dyDescent="0.2">
      <c r="A5" s="8"/>
      <c r="B5" s="19"/>
      <c r="C5" s="1"/>
      <c r="D5" s="19">
        <f t="shared" si="0"/>
        <v>0</v>
      </c>
      <c r="F5" s="7"/>
      <c r="G5" s="20"/>
      <c r="H5" s="4"/>
      <c r="I5" s="20">
        <f t="shared" si="1"/>
        <v>0</v>
      </c>
    </row>
    <row r="6" spans="1:12" x14ac:dyDescent="0.2">
      <c r="A6" s="8"/>
      <c r="B6" s="19"/>
      <c r="C6" s="1"/>
      <c r="D6" s="19">
        <f t="shared" si="0"/>
        <v>0</v>
      </c>
      <c r="F6" s="6" t="s">
        <v>92</v>
      </c>
      <c r="G6" s="19">
        <v>5.15</v>
      </c>
      <c r="H6" s="1">
        <v>1</v>
      </c>
      <c r="I6" s="19">
        <f t="shared" si="1"/>
        <v>5.15</v>
      </c>
    </row>
    <row r="7" spans="1:12" x14ac:dyDescent="0.2">
      <c r="A7" s="6"/>
      <c r="B7" s="19"/>
      <c r="C7" s="1"/>
      <c r="D7" s="19">
        <f t="shared" si="0"/>
        <v>0</v>
      </c>
      <c r="F7" s="7"/>
      <c r="G7" s="20"/>
      <c r="H7" s="4"/>
      <c r="I7" s="20">
        <f t="shared" si="1"/>
        <v>0</v>
      </c>
    </row>
    <row r="8" spans="1:12" x14ac:dyDescent="0.2">
      <c r="A8" s="6"/>
      <c r="B8" s="19"/>
      <c r="C8" s="1"/>
      <c r="D8" s="19">
        <f t="shared" si="0"/>
        <v>0</v>
      </c>
      <c r="F8" s="6"/>
      <c r="G8" s="19"/>
      <c r="H8" s="1"/>
      <c r="I8" s="19">
        <f t="shared" si="1"/>
        <v>0</v>
      </c>
    </row>
    <row r="9" spans="1:12" x14ac:dyDescent="0.2">
      <c r="A9" s="6"/>
      <c r="B9" s="19"/>
      <c r="C9" s="1"/>
      <c r="D9" s="19">
        <f t="shared" si="0"/>
        <v>0</v>
      </c>
      <c r="F9" s="6"/>
      <c r="G9" s="19"/>
      <c r="H9" s="1"/>
      <c r="I9" s="19">
        <f t="shared" si="1"/>
        <v>0</v>
      </c>
    </row>
    <row r="10" spans="1:12" x14ac:dyDescent="0.2">
      <c r="A10" s="6"/>
      <c r="B10" s="19"/>
      <c r="C10" s="1"/>
      <c r="D10" s="19">
        <f t="shared" si="0"/>
        <v>0</v>
      </c>
      <c r="F10" s="6"/>
      <c r="G10" s="19"/>
      <c r="H10" s="1"/>
      <c r="I10" s="19">
        <f t="shared" si="1"/>
        <v>0</v>
      </c>
    </row>
    <row r="11" spans="1:12" x14ac:dyDescent="0.2">
      <c r="A11" s="6"/>
      <c r="B11" s="19"/>
      <c r="C11" s="1"/>
      <c r="D11" s="19">
        <f t="shared" si="0"/>
        <v>0</v>
      </c>
      <c r="F11" s="6"/>
      <c r="G11" s="19"/>
      <c r="H11" s="1"/>
      <c r="I11" s="19">
        <f t="shared" si="1"/>
        <v>0</v>
      </c>
    </row>
    <row r="12" spans="1:12" x14ac:dyDescent="0.2">
      <c r="A12" s="6"/>
      <c r="B12" s="19"/>
      <c r="C12" s="1"/>
      <c r="D12" s="19">
        <f t="shared" si="0"/>
        <v>0</v>
      </c>
      <c r="F12" s="6"/>
      <c r="G12" s="19"/>
      <c r="H12" s="1"/>
      <c r="I12" s="19">
        <f t="shared" si="1"/>
        <v>0</v>
      </c>
    </row>
    <row r="13" spans="1:12" x14ac:dyDescent="0.2">
      <c r="A13" s="6"/>
      <c r="B13" s="19"/>
      <c r="C13" s="1"/>
      <c r="D13" s="19">
        <f t="shared" si="0"/>
        <v>0</v>
      </c>
      <c r="F13" s="6"/>
      <c r="G13" s="19"/>
      <c r="H13" s="1"/>
      <c r="I13" s="19">
        <f t="shared" si="1"/>
        <v>0</v>
      </c>
    </row>
    <row r="14" spans="1:12" x14ac:dyDescent="0.2">
      <c r="A14" s="6"/>
      <c r="B14" s="19"/>
      <c r="C14" s="1"/>
      <c r="D14" s="19">
        <f t="shared" si="0"/>
        <v>0</v>
      </c>
      <c r="F14" s="6"/>
      <c r="G14" s="19"/>
      <c r="H14" s="1"/>
      <c r="I14" s="19">
        <f t="shared" si="1"/>
        <v>0</v>
      </c>
    </row>
    <row r="15" spans="1:12" x14ac:dyDescent="0.2">
      <c r="A15" s="7"/>
      <c r="B15" s="20"/>
      <c r="C15" s="4"/>
      <c r="D15" s="20">
        <f t="shared" si="0"/>
        <v>0</v>
      </c>
      <c r="F15" s="6"/>
      <c r="G15" s="19"/>
      <c r="H15" s="1"/>
      <c r="I15" s="19">
        <f t="shared" si="1"/>
        <v>0</v>
      </c>
    </row>
    <row r="16" spans="1:12" x14ac:dyDescent="0.2">
      <c r="A16" s="6"/>
      <c r="B16" s="19"/>
      <c r="C16" s="1"/>
      <c r="D16" s="19">
        <f t="shared" si="0"/>
        <v>0</v>
      </c>
      <c r="F16" s="6"/>
      <c r="G16" s="19"/>
      <c r="H16" s="1"/>
      <c r="I16" s="19">
        <f t="shared" si="1"/>
        <v>0</v>
      </c>
    </row>
    <row r="17" spans="1:9" x14ac:dyDescent="0.2">
      <c r="A17" s="6"/>
      <c r="B17" s="19"/>
      <c r="C17" s="1"/>
      <c r="D17" s="19">
        <f t="shared" si="0"/>
        <v>0</v>
      </c>
      <c r="F17" s="6"/>
      <c r="G17" s="19"/>
      <c r="H17" s="1"/>
      <c r="I17" s="19">
        <f t="shared" si="1"/>
        <v>0</v>
      </c>
    </row>
    <row r="18" spans="1:9" x14ac:dyDescent="0.2">
      <c r="A18" s="6"/>
      <c r="B18" s="19"/>
      <c r="C18" s="1"/>
      <c r="D18" s="19">
        <f t="shared" si="0"/>
        <v>0</v>
      </c>
      <c r="F18" s="6"/>
      <c r="G18" s="19"/>
      <c r="H18" s="1"/>
      <c r="I18" s="19">
        <f t="shared" si="1"/>
        <v>0</v>
      </c>
    </row>
    <row r="19" spans="1:9" x14ac:dyDescent="0.2">
      <c r="A19" s="6"/>
      <c r="B19" s="19"/>
      <c r="C19" s="1"/>
      <c r="D19" s="19">
        <f t="shared" si="0"/>
        <v>0</v>
      </c>
      <c r="F19" s="6"/>
      <c r="G19" s="19"/>
      <c r="H19" s="1"/>
      <c r="I19" s="19">
        <f t="shared" si="1"/>
        <v>0</v>
      </c>
    </row>
    <row r="20" spans="1:9" x14ac:dyDescent="0.2">
      <c r="A20" s="6"/>
      <c r="B20" s="19"/>
      <c r="C20" s="1"/>
      <c r="D20" s="19">
        <f t="shared" si="0"/>
        <v>0</v>
      </c>
      <c r="F20" s="6"/>
      <c r="G20" s="19"/>
      <c r="H20" s="1"/>
      <c r="I20" s="19">
        <f t="shared" si="1"/>
        <v>0</v>
      </c>
    </row>
    <row r="21" spans="1:9" x14ac:dyDescent="0.2">
      <c r="A21" s="6"/>
      <c r="B21" s="19"/>
      <c r="C21" s="1"/>
      <c r="D21" s="19">
        <f t="shared" si="0"/>
        <v>0</v>
      </c>
      <c r="F21" s="6"/>
      <c r="G21" s="19"/>
      <c r="H21" s="1"/>
      <c r="I21" s="19">
        <f t="shared" si="1"/>
        <v>0</v>
      </c>
    </row>
    <row r="22" spans="1:9" x14ac:dyDescent="0.2">
      <c r="A22" s="6"/>
      <c r="B22" s="19"/>
      <c r="C22" s="1"/>
      <c r="D22" s="19">
        <f t="shared" si="0"/>
        <v>0</v>
      </c>
      <c r="F22" s="6"/>
      <c r="G22" s="19"/>
      <c r="H22" s="1"/>
      <c r="I22" s="19">
        <f t="shared" si="1"/>
        <v>0</v>
      </c>
    </row>
    <row r="23" spans="1:9" x14ac:dyDescent="0.2">
      <c r="A23" s="6"/>
      <c r="B23" s="19"/>
      <c r="C23" s="1"/>
      <c r="D23" s="19">
        <f t="shared" si="0"/>
        <v>0</v>
      </c>
      <c r="F23" s="6"/>
      <c r="G23" s="19"/>
      <c r="H23" s="1"/>
      <c r="I23" s="19">
        <f t="shared" si="1"/>
        <v>0</v>
      </c>
    </row>
    <row r="24" spans="1:9" x14ac:dyDescent="0.2">
      <c r="A24" s="6"/>
      <c r="B24" s="19"/>
      <c r="C24" s="1"/>
      <c r="D24" s="19">
        <f t="shared" si="0"/>
        <v>0</v>
      </c>
      <c r="F24" s="6"/>
      <c r="G24" s="19"/>
      <c r="H24" s="1"/>
      <c r="I24" s="19">
        <f t="shared" si="1"/>
        <v>0</v>
      </c>
    </row>
    <row r="25" spans="1:9" x14ac:dyDescent="0.2">
      <c r="A25" s="6"/>
      <c r="B25" s="19"/>
      <c r="C25" s="1"/>
      <c r="D25" s="19">
        <f t="shared" si="0"/>
        <v>0</v>
      </c>
      <c r="F25" s="6"/>
      <c r="G25" s="19"/>
      <c r="H25" s="1"/>
      <c r="I25" s="19">
        <f t="shared" si="1"/>
        <v>0</v>
      </c>
    </row>
    <row r="26" spans="1:9" x14ac:dyDescent="0.2">
      <c r="A26" s="6"/>
      <c r="B26" s="19"/>
      <c r="C26" s="1"/>
      <c r="D26" s="19">
        <f t="shared" si="0"/>
        <v>0</v>
      </c>
      <c r="F26" s="6"/>
      <c r="G26" s="19"/>
      <c r="H26" s="1"/>
      <c r="I26" s="19">
        <f t="shared" si="1"/>
        <v>0</v>
      </c>
    </row>
    <row r="27" spans="1:9" x14ac:dyDescent="0.2">
      <c r="A27" s="6"/>
      <c r="B27" s="19"/>
      <c r="C27" s="1"/>
      <c r="D27" s="19">
        <f t="shared" si="0"/>
        <v>0</v>
      </c>
      <c r="F27" s="6"/>
      <c r="G27" s="19"/>
      <c r="H27" s="1"/>
      <c r="I27" s="19">
        <f t="shared" si="1"/>
        <v>0</v>
      </c>
    </row>
    <row r="28" spans="1:9" x14ac:dyDescent="0.2">
      <c r="A28" s="6"/>
      <c r="B28" s="19"/>
      <c r="C28" s="1"/>
      <c r="D28" s="19">
        <f t="shared" si="0"/>
        <v>0</v>
      </c>
      <c r="F28" s="6"/>
      <c r="G28" s="19"/>
      <c r="H28" s="1"/>
      <c r="I28" s="19">
        <f t="shared" si="1"/>
        <v>0</v>
      </c>
    </row>
    <row r="29" spans="1:9" ht="17" thickBot="1" x14ac:dyDescent="0.25">
      <c r="A29" s="23"/>
      <c r="B29" s="24"/>
      <c r="C29" s="25"/>
      <c r="D29" s="24">
        <f t="shared" si="0"/>
        <v>0</v>
      </c>
      <c r="F29" s="23"/>
      <c r="G29" s="24"/>
      <c r="H29" s="25"/>
      <c r="I29" s="24">
        <f t="shared" si="1"/>
        <v>0</v>
      </c>
    </row>
    <row r="30" spans="1:9" x14ac:dyDescent="0.2">
      <c r="A30" s="22"/>
      <c r="B30" s="19"/>
      <c r="C30" s="22" t="s">
        <v>46</v>
      </c>
      <c r="D30" s="19">
        <f>SUM(D2:D29)</f>
        <v>0</v>
      </c>
      <c r="F30" s="22"/>
      <c r="G30" s="28"/>
      <c r="H30" s="22" t="s">
        <v>14</v>
      </c>
      <c r="I30" s="19">
        <f>SUM(I2:I29)</f>
        <v>49.9</v>
      </c>
    </row>
    <row r="31" spans="1:9" x14ac:dyDescent="0.2">
      <c r="A31" s="22"/>
      <c r="B31" s="19"/>
      <c r="C31" s="22" t="s">
        <v>47</v>
      </c>
      <c r="D31" s="19">
        <v>0</v>
      </c>
      <c r="F31" s="22"/>
      <c r="G31" s="19"/>
      <c r="H31" s="22" t="s">
        <v>50</v>
      </c>
      <c r="I31" s="19">
        <f>(SUM(I2:I6))*0.07</f>
        <v>3.4930000000000003</v>
      </c>
    </row>
    <row r="32" spans="1:9" x14ac:dyDescent="0.2">
      <c r="A32" s="22"/>
      <c r="B32" s="19"/>
      <c r="C32" s="26" t="s">
        <v>45</v>
      </c>
      <c r="D32" s="27">
        <f>SUM(D30:D31)</f>
        <v>0</v>
      </c>
      <c r="F32" s="22"/>
      <c r="G32" s="19"/>
      <c r="H32" s="26" t="s">
        <v>51</v>
      </c>
      <c r="I32" s="27">
        <f>SUM(I30:I31)</f>
        <v>53.393000000000001</v>
      </c>
    </row>
    <row r="33" spans="1:4" x14ac:dyDescent="0.2">
      <c r="A33" s="12" t="s">
        <v>107</v>
      </c>
    </row>
    <row r="34" spans="1:4" x14ac:dyDescent="0.2">
      <c r="A34" s="12" t="s">
        <v>34</v>
      </c>
    </row>
    <row r="35" spans="1:4" x14ac:dyDescent="0.2">
      <c r="D35" s="35"/>
    </row>
    <row r="36" spans="1:4" x14ac:dyDescent="0.2">
      <c r="D36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44BB-5731-A04C-B753-BA7726D007FF}">
  <dimension ref="A1:S44"/>
  <sheetViews>
    <sheetView tabSelected="1" workbookViewId="0">
      <pane xSplit="1" topLeftCell="M1" activePane="topRight" state="frozen"/>
      <selection pane="topRight" activeCell="O1" sqref="O1:Q1"/>
    </sheetView>
  </sheetViews>
  <sheetFormatPr baseColWidth="10" defaultRowHeight="16" x14ac:dyDescent="0.2"/>
  <cols>
    <col min="1" max="1" width="32.5" customWidth="1"/>
    <col min="4" max="4" width="10.6640625" bestFit="1" customWidth="1"/>
    <col min="5" max="5" width="22.6640625" bestFit="1" customWidth="1"/>
    <col min="6" max="6" width="17.5" customWidth="1"/>
    <col min="7" max="7" width="16.33203125" customWidth="1"/>
    <col min="8" max="8" width="11.1640625" customWidth="1"/>
    <col min="9" max="9" width="39" customWidth="1"/>
    <col min="10" max="10" width="34.1640625" customWidth="1"/>
    <col min="11" max="11" width="24" customWidth="1"/>
    <col min="12" max="12" width="23.1640625" customWidth="1"/>
    <col min="13" max="13" width="14.33203125" customWidth="1"/>
    <col min="14" max="14" width="22" customWidth="1"/>
    <col min="15" max="16" width="13.6640625" customWidth="1"/>
    <col min="17" max="17" width="19.33203125" bestFit="1" customWidth="1"/>
    <col min="18" max="18" width="11.6640625" bestFit="1" customWidth="1"/>
    <col min="19" max="19" width="13.5" customWidth="1"/>
  </cols>
  <sheetData>
    <row r="1" spans="1:19" ht="17" thickBot="1" x14ac:dyDescent="0.25">
      <c r="A1" s="5" t="s">
        <v>0</v>
      </c>
      <c r="B1" s="3" t="s">
        <v>1</v>
      </c>
      <c r="C1" s="3" t="s">
        <v>2</v>
      </c>
      <c r="D1" s="5" t="s">
        <v>3</v>
      </c>
      <c r="E1" s="5" t="s">
        <v>6</v>
      </c>
      <c r="F1" s="3" t="s">
        <v>4</v>
      </c>
      <c r="G1" s="5" t="s">
        <v>14</v>
      </c>
      <c r="H1" s="3" t="s">
        <v>27</v>
      </c>
      <c r="I1" s="3" t="s">
        <v>26</v>
      </c>
      <c r="J1" s="14" t="s">
        <v>43</v>
      </c>
      <c r="K1" s="14" t="s">
        <v>72</v>
      </c>
      <c r="L1" s="3" t="s">
        <v>88</v>
      </c>
      <c r="M1" s="3" t="s">
        <v>5</v>
      </c>
      <c r="N1" s="14" t="s">
        <v>74</v>
      </c>
      <c r="O1" s="86" t="s">
        <v>123</v>
      </c>
      <c r="P1" s="86" t="s">
        <v>124</v>
      </c>
      <c r="Q1" s="86" t="s">
        <v>125</v>
      </c>
    </row>
    <row r="2" spans="1:19" ht="17" thickTop="1" x14ac:dyDescent="0.2">
      <c r="A2" s="6" t="s">
        <v>17</v>
      </c>
      <c r="B2" s="1">
        <v>25</v>
      </c>
      <c r="C2" s="1">
        <v>2</v>
      </c>
      <c r="D2" s="9">
        <f>B2*C2</f>
        <v>50</v>
      </c>
      <c r="E2" s="9" t="s">
        <v>10</v>
      </c>
      <c r="F2" s="1" t="s">
        <v>8</v>
      </c>
      <c r="G2" s="9"/>
      <c r="H2" s="1" t="s">
        <v>15</v>
      </c>
      <c r="I2" s="1" t="s">
        <v>16</v>
      </c>
      <c r="J2" s="15"/>
      <c r="K2" s="67"/>
      <c r="L2" s="71"/>
      <c r="M2" s="75"/>
      <c r="N2" s="9"/>
      <c r="O2" s="50"/>
    </row>
    <row r="3" spans="1:19" x14ac:dyDescent="0.2">
      <c r="A3" s="7" t="s">
        <v>18</v>
      </c>
      <c r="B3" s="4">
        <v>50</v>
      </c>
      <c r="C3" s="4">
        <v>1</v>
      </c>
      <c r="D3" s="10">
        <f t="shared" ref="D3:D16" si="0">B3*C3</f>
        <v>50</v>
      </c>
      <c r="E3" s="10" t="s">
        <v>38</v>
      </c>
      <c r="F3" s="4" t="s">
        <v>9</v>
      </c>
      <c r="G3" s="10"/>
      <c r="H3" s="4" t="s">
        <v>37</v>
      </c>
      <c r="I3" s="4" t="s">
        <v>33</v>
      </c>
      <c r="J3" s="16" t="s">
        <v>64</v>
      </c>
      <c r="K3" s="68">
        <v>45710</v>
      </c>
      <c r="L3" s="72">
        <v>45787</v>
      </c>
      <c r="M3" s="10">
        <f>L3-K3</f>
        <v>77</v>
      </c>
      <c r="N3" s="49" t="s">
        <v>76</v>
      </c>
      <c r="O3" s="51"/>
    </row>
    <row r="4" spans="1:19" x14ac:dyDescent="0.2">
      <c r="A4" s="6" t="s">
        <v>31</v>
      </c>
      <c r="B4" s="1">
        <v>10</v>
      </c>
      <c r="C4" s="1">
        <v>1</v>
      </c>
      <c r="D4" s="9">
        <f t="shared" si="0"/>
        <v>10</v>
      </c>
      <c r="E4" s="9"/>
      <c r="F4" s="1" t="s">
        <v>11</v>
      </c>
      <c r="G4" s="9"/>
      <c r="H4" s="13" t="s">
        <v>40</v>
      </c>
      <c r="I4" s="1" t="s">
        <v>36</v>
      </c>
      <c r="J4" s="15"/>
      <c r="K4" s="67" t="s">
        <v>73</v>
      </c>
      <c r="L4" s="65">
        <v>45764</v>
      </c>
      <c r="M4" s="9">
        <f>L4-K3</f>
        <v>54</v>
      </c>
      <c r="N4" s="48" t="s">
        <v>75</v>
      </c>
      <c r="O4" s="50"/>
    </row>
    <row r="5" spans="1:19" x14ac:dyDescent="0.2">
      <c r="A5" s="6" t="s">
        <v>19</v>
      </c>
      <c r="B5" s="1">
        <v>15</v>
      </c>
      <c r="C5" s="1">
        <v>1</v>
      </c>
      <c r="D5" s="9">
        <f t="shared" si="0"/>
        <v>15</v>
      </c>
      <c r="E5" s="9" t="s">
        <v>28</v>
      </c>
      <c r="F5" s="1" t="s">
        <v>8</v>
      </c>
      <c r="G5" s="9"/>
      <c r="H5" s="1" t="s">
        <v>29</v>
      </c>
      <c r="I5" s="1" t="s">
        <v>30</v>
      </c>
      <c r="J5" s="15"/>
      <c r="K5" s="67">
        <v>45711</v>
      </c>
      <c r="L5" s="65">
        <v>45805</v>
      </c>
      <c r="M5" s="9">
        <f t="shared" ref="M5:M11" si="1">L5-K5</f>
        <v>94</v>
      </c>
      <c r="N5" s="48" t="s">
        <v>77</v>
      </c>
      <c r="O5" s="50"/>
    </row>
    <row r="6" spans="1:19" x14ac:dyDescent="0.2">
      <c r="A6" s="8" t="s">
        <v>20</v>
      </c>
      <c r="B6" s="1">
        <v>10</v>
      </c>
      <c r="C6" s="1">
        <v>1</v>
      </c>
      <c r="D6" s="9">
        <f t="shared" si="0"/>
        <v>10</v>
      </c>
      <c r="E6" s="9" t="s">
        <v>38</v>
      </c>
      <c r="F6" s="1" t="s">
        <v>13</v>
      </c>
      <c r="G6" s="9"/>
      <c r="H6" s="1" t="s">
        <v>39</v>
      </c>
      <c r="I6" s="1" t="s">
        <v>33</v>
      </c>
      <c r="J6" s="15"/>
      <c r="K6" s="67">
        <v>45710</v>
      </c>
      <c r="L6" s="65">
        <v>45861</v>
      </c>
      <c r="M6" s="9">
        <f t="shared" si="1"/>
        <v>151</v>
      </c>
      <c r="N6" s="48" t="s">
        <v>78</v>
      </c>
      <c r="O6" s="50"/>
    </row>
    <row r="7" spans="1:19" x14ac:dyDescent="0.2">
      <c r="A7" s="8" t="s">
        <v>21</v>
      </c>
      <c r="B7" s="1">
        <v>10</v>
      </c>
      <c r="C7" s="1">
        <v>1</v>
      </c>
      <c r="D7" s="9">
        <f t="shared" si="0"/>
        <v>10</v>
      </c>
      <c r="E7" s="9" t="s">
        <v>38</v>
      </c>
      <c r="F7" s="1" t="s">
        <v>13</v>
      </c>
      <c r="G7" s="9"/>
      <c r="H7" s="13" t="s">
        <v>39</v>
      </c>
      <c r="I7" s="1" t="s">
        <v>33</v>
      </c>
      <c r="J7" s="15"/>
      <c r="K7" s="67">
        <v>45710</v>
      </c>
      <c r="L7" s="65">
        <v>45853</v>
      </c>
      <c r="M7" s="9">
        <f t="shared" si="1"/>
        <v>143</v>
      </c>
      <c r="N7" s="48" t="s">
        <v>75</v>
      </c>
      <c r="O7" s="50"/>
    </row>
    <row r="8" spans="1:19" x14ac:dyDescent="0.2">
      <c r="A8" s="8" t="s">
        <v>22</v>
      </c>
      <c r="B8" s="1">
        <v>5</v>
      </c>
      <c r="C8" s="1">
        <v>1</v>
      </c>
      <c r="D8" s="9">
        <f t="shared" si="0"/>
        <v>5</v>
      </c>
      <c r="E8" s="9" t="s">
        <v>38</v>
      </c>
      <c r="F8" s="1" t="s">
        <v>13</v>
      </c>
      <c r="G8" s="9"/>
      <c r="H8" s="13" t="s">
        <v>39</v>
      </c>
      <c r="I8" s="1" t="s">
        <v>33</v>
      </c>
      <c r="J8" s="15"/>
      <c r="K8" s="67">
        <v>45710</v>
      </c>
      <c r="L8" s="65">
        <v>45777</v>
      </c>
      <c r="M8" s="9">
        <f t="shared" si="1"/>
        <v>67</v>
      </c>
      <c r="N8" s="48" t="s">
        <v>78</v>
      </c>
      <c r="O8" s="50"/>
    </row>
    <row r="9" spans="1:19" x14ac:dyDescent="0.2">
      <c r="A9" s="6" t="s">
        <v>23</v>
      </c>
      <c r="B9" s="1">
        <v>50</v>
      </c>
      <c r="C9" s="1">
        <v>1</v>
      </c>
      <c r="D9" s="9">
        <f t="shared" si="0"/>
        <v>50</v>
      </c>
      <c r="E9" s="9" t="s">
        <v>28</v>
      </c>
      <c r="F9" s="1" t="s">
        <v>12</v>
      </c>
      <c r="G9" s="9"/>
      <c r="H9" s="1" t="s">
        <v>15</v>
      </c>
      <c r="I9" s="1" t="s">
        <v>35</v>
      </c>
      <c r="J9" s="15"/>
      <c r="K9" s="67">
        <v>45808</v>
      </c>
      <c r="L9" s="65">
        <v>45889</v>
      </c>
      <c r="M9" s="9">
        <f t="shared" si="1"/>
        <v>81</v>
      </c>
      <c r="N9" s="9"/>
      <c r="O9" s="50"/>
      <c r="Q9" s="62"/>
      <c r="R9" s="64"/>
      <c r="S9" s="77"/>
    </row>
    <row r="10" spans="1:19" x14ac:dyDescent="0.2">
      <c r="A10" s="6" t="s">
        <v>24</v>
      </c>
      <c r="B10" s="1">
        <v>50</v>
      </c>
      <c r="C10" s="1">
        <v>1</v>
      </c>
      <c r="D10" s="9">
        <f t="shared" si="0"/>
        <v>50</v>
      </c>
      <c r="E10" s="9" t="s">
        <v>28</v>
      </c>
      <c r="F10" s="1" t="s">
        <v>12</v>
      </c>
      <c r="G10" s="9"/>
      <c r="H10" s="1" t="s">
        <v>15</v>
      </c>
      <c r="I10" s="1" t="s">
        <v>35</v>
      </c>
      <c r="J10" s="15"/>
      <c r="K10" s="67">
        <v>45808</v>
      </c>
      <c r="L10" s="65">
        <v>45856</v>
      </c>
      <c r="M10" s="9">
        <f t="shared" si="1"/>
        <v>48</v>
      </c>
      <c r="N10" s="9"/>
      <c r="O10" s="50"/>
      <c r="Q10" s="62"/>
      <c r="R10" s="64"/>
      <c r="S10" s="77"/>
    </row>
    <row r="11" spans="1:19" x14ac:dyDescent="0.2">
      <c r="A11" s="6" t="s">
        <v>89</v>
      </c>
      <c r="B11" s="1"/>
      <c r="C11" s="1"/>
      <c r="D11" s="9"/>
      <c r="E11" s="9" t="s">
        <v>28</v>
      </c>
      <c r="F11" s="1" t="s">
        <v>12</v>
      </c>
      <c r="G11" s="9"/>
      <c r="H11" s="1"/>
      <c r="I11" s="1"/>
      <c r="J11" s="15"/>
      <c r="K11" s="67">
        <v>45808</v>
      </c>
      <c r="L11" s="65">
        <v>45873</v>
      </c>
      <c r="M11" s="9">
        <f t="shared" si="1"/>
        <v>65</v>
      </c>
      <c r="N11" s="9"/>
      <c r="O11" s="50"/>
      <c r="P11" s="62"/>
      <c r="Q11" s="63"/>
    </row>
    <row r="12" spans="1:19" x14ac:dyDescent="0.2">
      <c r="A12" s="6" t="s">
        <v>90</v>
      </c>
      <c r="B12" s="1"/>
      <c r="C12" s="1"/>
      <c r="D12" s="9"/>
      <c r="E12" s="9" t="s">
        <v>28</v>
      </c>
      <c r="F12" s="1" t="s">
        <v>12</v>
      </c>
      <c r="G12" s="9"/>
      <c r="H12" s="1"/>
      <c r="I12" s="1"/>
      <c r="J12" s="15"/>
      <c r="K12" s="67">
        <v>45808</v>
      </c>
      <c r="L12" s="65"/>
      <c r="M12" s="9"/>
      <c r="N12" s="9"/>
      <c r="O12" s="50"/>
      <c r="P12" s="62"/>
      <c r="Q12" s="63"/>
    </row>
    <row r="13" spans="1:19" x14ac:dyDescent="0.2">
      <c r="A13" s="6" t="s">
        <v>91</v>
      </c>
      <c r="B13" s="1"/>
      <c r="C13" s="1"/>
      <c r="D13" s="9"/>
      <c r="E13" s="9" t="s">
        <v>28</v>
      </c>
      <c r="F13" s="1" t="s">
        <v>12</v>
      </c>
      <c r="G13" s="9"/>
      <c r="H13" s="1"/>
      <c r="I13" s="1"/>
      <c r="J13" s="15"/>
      <c r="K13" s="67">
        <v>45808</v>
      </c>
      <c r="L13" s="65"/>
      <c r="M13" s="9"/>
      <c r="N13" s="9"/>
      <c r="O13" s="50"/>
      <c r="P13" s="62"/>
      <c r="Q13" s="63"/>
    </row>
    <row r="14" spans="1:19" x14ac:dyDescent="0.2">
      <c r="A14" s="6"/>
      <c r="B14" s="1"/>
      <c r="C14" s="1"/>
      <c r="D14" s="9"/>
      <c r="E14" s="9"/>
      <c r="F14" s="1"/>
      <c r="G14" s="9"/>
      <c r="H14" s="1"/>
      <c r="I14" s="1"/>
      <c r="J14" s="15"/>
      <c r="K14" s="67"/>
      <c r="L14" s="65"/>
      <c r="M14" s="9"/>
      <c r="N14" s="9"/>
      <c r="O14" s="50"/>
      <c r="P14" s="62"/>
    </row>
    <row r="15" spans="1:19" x14ac:dyDescent="0.2">
      <c r="A15" s="7"/>
      <c r="B15" s="4"/>
      <c r="C15" s="4"/>
      <c r="D15" s="10"/>
      <c r="E15" s="10"/>
      <c r="F15" s="4"/>
      <c r="G15" s="10"/>
      <c r="H15" s="4"/>
      <c r="I15" s="4"/>
      <c r="J15" s="16"/>
      <c r="K15" s="68"/>
      <c r="L15" s="72"/>
      <c r="M15" s="10"/>
      <c r="N15" s="10"/>
      <c r="O15" s="51"/>
    </row>
    <row r="16" spans="1:19" x14ac:dyDescent="0.2">
      <c r="A16" s="6" t="s">
        <v>25</v>
      </c>
      <c r="B16" s="1">
        <v>50</v>
      </c>
      <c r="C16" s="1">
        <v>1</v>
      </c>
      <c r="D16" s="9">
        <f t="shared" si="0"/>
        <v>50</v>
      </c>
      <c r="E16" s="9" t="s">
        <v>7</v>
      </c>
      <c r="F16" s="1" t="s">
        <v>41</v>
      </c>
      <c r="G16" s="9" t="s">
        <v>79</v>
      </c>
      <c r="H16" s="1" t="s">
        <v>42</v>
      </c>
      <c r="I16" s="1" t="s">
        <v>35</v>
      </c>
      <c r="J16" s="15"/>
      <c r="K16" s="67">
        <v>45711</v>
      </c>
      <c r="L16" s="65" t="s">
        <v>79</v>
      </c>
      <c r="M16" s="9" t="s">
        <v>79</v>
      </c>
      <c r="N16" s="9"/>
      <c r="O16" s="50"/>
    </row>
    <row r="17" spans="1:15" x14ac:dyDescent="0.2">
      <c r="A17" s="6"/>
      <c r="B17" s="1"/>
      <c r="C17" s="1"/>
      <c r="D17" s="9"/>
      <c r="E17" s="9"/>
      <c r="F17" s="1"/>
      <c r="G17" s="11"/>
      <c r="H17" s="2"/>
      <c r="I17" s="2"/>
      <c r="J17" s="15"/>
      <c r="K17" s="69"/>
      <c r="L17" s="73"/>
      <c r="M17" s="11"/>
      <c r="N17" s="11"/>
      <c r="O17" s="52"/>
    </row>
    <row r="18" spans="1:15" x14ac:dyDescent="0.2">
      <c r="A18" s="6"/>
      <c r="B18" s="1"/>
      <c r="C18" s="1"/>
      <c r="D18" s="9"/>
      <c r="E18" s="9"/>
      <c r="F18" s="1"/>
      <c r="G18" s="11"/>
      <c r="H18" s="2"/>
      <c r="I18" s="2"/>
      <c r="J18" s="15"/>
      <c r="K18" s="69"/>
      <c r="L18" s="73"/>
      <c r="M18" s="11"/>
      <c r="N18" s="11"/>
      <c r="O18" s="52"/>
    </row>
    <row r="19" spans="1:15" x14ac:dyDescent="0.2">
      <c r="A19" s="6"/>
      <c r="B19" s="1"/>
      <c r="C19" s="1"/>
      <c r="D19" s="9"/>
      <c r="E19" s="9"/>
      <c r="F19" s="1"/>
      <c r="G19" s="11"/>
      <c r="H19" s="2"/>
      <c r="I19" s="2"/>
      <c r="J19" s="15"/>
      <c r="K19" s="69"/>
      <c r="L19" s="73"/>
      <c r="M19" s="11"/>
      <c r="N19" s="11"/>
      <c r="O19" s="52"/>
    </row>
    <row r="20" spans="1:15" x14ac:dyDescent="0.2">
      <c r="A20" s="6"/>
      <c r="B20" s="1"/>
      <c r="C20" s="1"/>
      <c r="D20" s="9"/>
      <c r="E20" s="9"/>
      <c r="F20" s="1"/>
      <c r="G20" s="11"/>
      <c r="H20" s="2"/>
      <c r="I20" s="2"/>
      <c r="J20" s="15"/>
      <c r="K20" s="69"/>
      <c r="L20" s="73"/>
      <c r="M20" s="11"/>
      <c r="N20" s="11"/>
      <c r="O20" s="52"/>
    </row>
    <row r="21" spans="1:15" x14ac:dyDescent="0.2">
      <c r="A21" s="6"/>
      <c r="B21" s="1"/>
      <c r="C21" s="1"/>
      <c r="D21" s="9"/>
      <c r="E21" s="9"/>
      <c r="F21" s="1"/>
      <c r="G21" s="11"/>
      <c r="H21" s="2"/>
      <c r="I21" s="2"/>
      <c r="J21" s="15"/>
      <c r="K21" s="69"/>
      <c r="L21" s="73"/>
      <c r="M21" s="11"/>
      <c r="N21" s="11"/>
      <c r="O21" s="52"/>
    </row>
    <row r="22" spans="1:15" x14ac:dyDescent="0.2">
      <c r="A22" s="6"/>
      <c r="B22" s="1"/>
      <c r="C22" s="1"/>
      <c r="D22" s="9"/>
      <c r="E22" s="9"/>
      <c r="F22" s="1"/>
      <c r="G22" s="11"/>
      <c r="H22" s="2"/>
      <c r="I22" s="2"/>
      <c r="J22" s="15"/>
      <c r="K22" s="69"/>
      <c r="L22" s="73"/>
      <c r="M22" s="11"/>
      <c r="N22" s="11"/>
      <c r="O22" s="52"/>
    </row>
    <row r="23" spans="1:15" x14ac:dyDescent="0.2">
      <c r="A23" s="6"/>
      <c r="B23" s="1"/>
      <c r="C23" s="1"/>
      <c r="D23" s="9"/>
      <c r="E23" s="9"/>
      <c r="F23" s="1"/>
      <c r="G23" s="11"/>
      <c r="H23" s="2"/>
      <c r="I23" s="2"/>
      <c r="J23" s="15"/>
      <c r="K23" s="69"/>
      <c r="L23" s="73"/>
      <c r="M23" s="11"/>
      <c r="N23" s="11"/>
      <c r="O23" s="52"/>
    </row>
    <row r="24" spans="1:15" x14ac:dyDescent="0.2">
      <c r="A24" s="7"/>
      <c r="B24" s="4"/>
      <c r="C24" s="4"/>
      <c r="D24" s="10"/>
      <c r="E24" s="10"/>
      <c r="F24" s="4"/>
      <c r="G24" s="34"/>
      <c r="H24" s="33"/>
      <c r="I24" s="33"/>
      <c r="J24" s="16"/>
      <c r="K24" s="70"/>
      <c r="L24" s="74"/>
      <c r="M24" s="34"/>
      <c r="N24" s="34"/>
      <c r="O24" s="53"/>
    </row>
    <row r="25" spans="1:15" x14ac:dyDescent="0.2">
      <c r="A25" s="22"/>
      <c r="B25" s="1"/>
      <c r="C25" s="22" t="s">
        <v>57</v>
      </c>
      <c r="D25" s="1">
        <f>SUM(D2:D24)</f>
        <v>300</v>
      </c>
      <c r="E25" s="1"/>
      <c r="F25" s="1"/>
      <c r="G25" s="2"/>
      <c r="H25" s="2"/>
      <c r="I25" s="2"/>
      <c r="J25" s="1"/>
      <c r="K25" s="66"/>
      <c r="L25" s="2"/>
      <c r="M25" s="2"/>
      <c r="N25" s="2"/>
      <c r="O25" s="2"/>
    </row>
    <row r="26" spans="1:15" x14ac:dyDescent="0.2">
      <c r="A26" s="12" t="s">
        <v>32</v>
      </c>
    </row>
    <row r="27" spans="1:15" x14ac:dyDescent="0.2">
      <c r="A27" s="12" t="s">
        <v>34</v>
      </c>
    </row>
    <row r="29" spans="1:15" x14ac:dyDescent="0.2">
      <c r="E29" s="12"/>
      <c r="F29" s="45" t="s">
        <v>59</v>
      </c>
      <c r="G29" s="45" t="s">
        <v>60</v>
      </c>
      <c r="J29" s="47" t="s">
        <v>71</v>
      </c>
      <c r="K29" s="44" t="s">
        <v>59</v>
      </c>
      <c r="L29" s="44" t="s">
        <v>60</v>
      </c>
      <c r="M29" s="44"/>
    </row>
    <row r="30" spans="1:15" x14ac:dyDescent="0.2">
      <c r="E30" s="36" t="s">
        <v>58</v>
      </c>
      <c r="F30" s="37" t="s">
        <v>61</v>
      </c>
      <c r="G30" s="37">
        <f>16</f>
        <v>16</v>
      </c>
      <c r="J30" s="40"/>
      <c r="K30" s="41" t="s">
        <v>61</v>
      </c>
      <c r="L30" s="41">
        <v>19</v>
      </c>
      <c r="M30" s="41"/>
    </row>
    <row r="31" spans="1:15" x14ac:dyDescent="0.2">
      <c r="E31" s="38" t="s">
        <v>65</v>
      </c>
      <c r="F31" s="37" t="s">
        <v>63</v>
      </c>
      <c r="G31" s="37">
        <f>3*2</f>
        <v>6</v>
      </c>
      <c r="J31" s="42" t="s">
        <v>68</v>
      </c>
      <c r="K31" s="46" t="s">
        <v>97</v>
      </c>
      <c r="L31" s="41">
        <f>2*2</f>
        <v>4</v>
      </c>
      <c r="M31" s="41"/>
    </row>
    <row r="32" spans="1:15" x14ac:dyDescent="0.2">
      <c r="E32" s="39"/>
      <c r="F32" s="37" t="s">
        <v>62</v>
      </c>
      <c r="G32" s="37">
        <f>6*2</f>
        <v>12</v>
      </c>
      <c r="J32" s="43"/>
      <c r="K32" s="46" t="s">
        <v>98</v>
      </c>
      <c r="L32" s="41">
        <f>2</f>
        <v>2</v>
      </c>
      <c r="M32" s="41"/>
    </row>
    <row r="33" spans="1:13" x14ac:dyDescent="0.2">
      <c r="E33" s="36" t="s">
        <v>66</v>
      </c>
      <c r="F33" s="37" t="s">
        <v>67</v>
      </c>
      <c r="G33" s="37">
        <f>4*2</f>
        <v>8</v>
      </c>
      <c r="J33" s="40"/>
      <c r="K33" s="41" t="s">
        <v>70</v>
      </c>
      <c r="L33" s="41"/>
    </row>
    <row r="34" spans="1:13" x14ac:dyDescent="0.2">
      <c r="K34" s="41" t="s">
        <v>94</v>
      </c>
      <c r="L34" s="78" t="s">
        <v>95</v>
      </c>
      <c r="M34" s="46"/>
    </row>
    <row r="35" spans="1:13" x14ac:dyDescent="0.2">
      <c r="K35" s="46" t="s">
        <v>69</v>
      </c>
      <c r="L35" s="79" t="s">
        <v>96</v>
      </c>
    </row>
    <row r="38" spans="1:13" x14ac:dyDescent="0.2">
      <c r="A38" s="54" t="s">
        <v>83</v>
      </c>
      <c r="F38" s="61" t="s">
        <v>114</v>
      </c>
      <c r="G38" s="61" t="s">
        <v>115</v>
      </c>
      <c r="J38" s="54" t="s">
        <v>85</v>
      </c>
      <c r="K38" s="76" t="s">
        <v>87</v>
      </c>
    </row>
    <row r="39" spans="1:13" x14ac:dyDescent="0.2">
      <c r="A39" s="56" t="s">
        <v>80</v>
      </c>
      <c r="B39" s="57">
        <v>8</v>
      </c>
      <c r="C39" s="55" t="s">
        <v>113</v>
      </c>
      <c r="F39" s="55">
        <v>5</v>
      </c>
      <c r="G39" s="55">
        <v>4</v>
      </c>
      <c r="H39" s="55"/>
      <c r="J39" s="56" t="s">
        <v>80</v>
      </c>
      <c r="K39" s="57">
        <v>8</v>
      </c>
    </row>
    <row r="40" spans="1:13" x14ac:dyDescent="0.2">
      <c r="A40" s="56" t="s">
        <v>81</v>
      </c>
      <c r="B40" s="57">
        <v>7</v>
      </c>
      <c r="C40" s="55" t="s">
        <v>86</v>
      </c>
      <c r="F40" s="55">
        <v>4</v>
      </c>
      <c r="G40" s="55">
        <v>5</v>
      </c>
      <c r="J40" s="56" t="s">
        <v>81</v>
      </c>
      <c r="K40" s="57">
        <v>2</v>
      </c>
    </row>
    <row r="41" spans="1:13" x14ac:dyDescent="0.2">
      <c r="A41" s="56" t="s">
        <v>82</v>
      </c>
      <c r="B41" s="57">
        <v>2</v>
      </c>
      <c r="F41" s="55">
        <v>1</v>
      </c>
      <c r="G41" s="55">
        <v>1</v>
      </c>
    </row>
    <row r="42" spans="1:13" x14ac:dyDescent="0.2">
      <c r="A42" s="56" t="s">
        <v>84</v>
      </c>
      <c r="B42" s="57">
        <v>1</v>
      </c>
      <c r="F42" s="55">
        <v>1</v>
      </c>
      <c r="G42" s="55"/>
    </row>
    <row r="43" spans="1:13" ht="17" thickBot="1" x14ac:dyDescent="0.25">
      <c r="A43" s="59"/>
      <c r="B43" s="60"/>
      <c r="F43" s="58"/>
      <c r="G43" s="58"/>
      <c r="J43" s="59"/>
      <c r="K43" s="60"/>
    </row>
    <row r="44" spans="1:13" ht="17" thickTop="1" x14ac:dyDescent="0.2">
      <c r="B44" s="57">
        <f>SUM(B39:B43)</f>
        <v>18</v>
      </c>
      <c r="F44" s="55">
        <f>SUM(F39:F43)</f>
        <v>11</v>
      </c>
      <c r="G44" s="55">
        <f>SUM(G39:G43)</f>
        <v>10</v>
      </c>
      <c r="K44" s="57">
        <f>SUM(K39:K43)</f>
        <v>10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ADA73-4483-6F4A-9CC8-3101C8290B7D}">
  <dimension ref="A1:L36"/>
  <sheetViews>
    <sheetView workbookViewId="0">
      <selection activeCell="K4" sqref="K4"/>
    </sheetView>
  </sheetViews>
  <sheetFormatPr baseColWidth="10" defaultRowHeight="16" x14ac:dyDescent="0.2"/>
  <cols>
    <col min="1" max="1" width="32.5" customWidth="1"/>
    <col min="4" max="4" width="15.83203125" customWidth="1"/>
    <col min="5" max="5" width="6.6640625" customWidth="1"/>
    <col min="6" max="6" width="31" customWidth="1"/>
    <col min="7" max="7" width="14.1640625" customWidth="1"/>
    <col min="8" max="8" width="14" customWidth="1"/>
    <col min="9" max="9" width="22.83203125" customWidth="1"/>
    <col min="10" max="10" width="6.6640625" customWidth="1"/>
    <col min="11" max="11" width="61.1640625" customWidth="1"/>
  </cols>
  <sheetData>
    <row r="1" spans="1:12" ht="17" thickBot="1" x14ac:dyDescent="0.25">
      <c r="A1" s="5" t="s">
        <v>0</v>
      </c>
      <c r="B1" s="3" t="s">
        <v>44</v>
      </c>
      <c r="C1" s="3" t="s">
        <v>2</v>
      </c>
      <c r="D1" s="3" t="s">
        <v>45</v>
      </c>
      <c r="F1" s="5" t="s">
        <v>49</v>
      </c>
      <c r="G1" s="3" t="s">
        <v>44</v>
      </c>
      <c r="H1" s="3" t="s">
        <v>48</v>
      </c>
      <c r="I1" s="3" t="s">
        <v>14</v>
      </c>
    </row>
    <row r="2" spans="1:12" ht="17" thickTop="1" x14ac:dyDescent="0.2">
      <c r="A2" s="6" t="s">
        <v>17</v>
      </c>
      <c r="B2" s="19">
        <v>3.99</v>
      </c>
      <c r="C2" s="1">
        <v>2</v>
      </c>
      <c r="D2" s="19">
        <f>B2*C2</f>
        <v>7.98</v>
      </c>
      <c r="F2" s="6" t="s">
        <v>55</v>
      </c>
      <c r="G2" s="19">
        <v>2</v>
      </c>
      <c r="H2" s="1">
        <v>8</v>
      </c>
      <c r="I2" s="19">
        <f>G2*H2</f>
        <v>16</v>
      </c>
      <c r="K2" s="29" t="s">
        <v>116</v>
      </c>
      <c r="L2" s="30">
        <f>D32+I32</f>
        <v>588.30720000000008</v>
      </c>
    </row>
    <row r="3" spans="1:12" ht="17" thickBot="1" x14ac:dyDescent="0.25">
      <c r="A3" s="7" t="s">
        <v>18</v>
      </c>
      <c r="B3" s="20">
        <v>3.99</v>
      </c>
      <c r="C3" s="4">
        <v>1</v>
      </c>
      <c r="D3" s="20">
        <f t="shared" ref="D3:D29" si="0">B3*C3</f>
        <v>3.99</v>
      </c>
      <c r="F3" s="6" t="s">
        <v>54</v>
      </c>
      <c r="G3" s="19">
        <v>2</v>
      </c>
      <c r="H3" s="1">
        <v>4</v>
      </c>
      <c r="I3" s="19">
        <f t="shared" ref="I3:I29" si="1">G3*H3</f>
        <v>8</v>
      </c>
      <c r="K3" s="31" t="s">
        <v>117</v>
      </c>
      <c r="L3" s="32">
        <f>D32+((I6+I7)*1.07)</f>
        <v>95.086500000000015</v>
      </c>
    </row>
    <row r="4" spans="1:12" ht="17" thickTop="1" x14ac:dyDescent="0.2">
      <c r="A4" s="6" t="s">
        <v>31</v>
      </c>
      <c r="B4" s="19">
        <v>6.49</v>
      </c>
      <c r="C4" s="1">
        <v>1</v>
      </c>
      <c r="D4" s="19">
        <f t="shared" si="0"/>
        <v>6.49</v>
      </c>
      <c r="F4" s="6" t="s">
        <v>52</v>
      </c>
      <c r="G4" s="19">
        <v>2</v>
      </c>
      <c r="H4" s="1">
        <v>12</v>
      </c>
      <c r="I4" s="19">
        <f t="shared" si="1"/>
        <v>24</v>
      </c>
    </row>
    <row r="5" spans="1:12" x14ac:dyDescent="0.2">
      <c r="A5" s="6" t="s">
        <v>19</v>
      </c>
      <c r="B5" s="19">
        <v>3.99</v>
      </c>
      <c r="C5" s="1">
        <v>1</v>
      </c>
      <c r="D5" s="19">
        <f t="shared" si="0"/>
        <v>3.99</v>
      </c>
      <c r="F5" s="7" t="s">
        <v>53</v>
      </c>
      <c r="G5" s="20">
        <v>2</v>
      </c>
      <c r="H5" s="4">
        <v>2</v>
      </c>
      <c r="I5" s="20">
        <f t="shared" si="1"/>
        <v>4</v>
      </c>
    </row>
    <row r="6" spans="1:12" x14ac:dyDescent="0.2">
      <c r="A6" s="8" t="s">
        <v>20</v>
      </c>
      <c r="B6" s="19">
        <v>4.29</v>
      </c>
      <c r="C6" s="1">
        <v>1</v>
      </c>
      <c r="D6" s="19">
        <f t="shared" si="0"/>
        <v>4.29</v>
      </c>
      <c r="F6" s="6" t="s">
        <v>93</v>
      </c>
      <c r="G6" s="19">
        <v>7.99</v>
      </c>
      <c r="H6" s="1">
        <v>4</v>
      </c>
      <c r="I6" s="19">
        <f t="shared" si="1"/>
        <v>31.96</v>
      </c>
    </row>
    <row r="7" spans="1:12" x14ac:dyDescent="0.2">
      <c r="A7" s="8" t="s">
        <v>21</v>
      </c>
      <c r="B7" s="19">
        <v>4.29</v>
      </c>
      <c r="C7" s="1">
        <v>1</v>
      </c>
      <c r="D7" s="19">
        <f t="shared" si="0"/>
        <v>4.29</v>
      </c>
      <c r="F7" s="7" t="s">
        <v>92</v>
      </c>
      <c r="G7" s="20">
        <v>5.99</v>
      </c>
      <c r="H7" s="4">
        <v>1</v>
      </c>
      <c r="I7" s="20">
        <f t="shared" si="1"/>
        <v>5.99</v>
      </c>
    </row>
    <row r="8" spans="1:12" x14ac:dyDescent="0.2">
      <c r="A8" s="8" t="s">
        <v>22</v>
      </c>
      <c r="B8" s="19">
        <v>5.99</v>
      </c>
      <c r="C8" s="1">
        <v>1</v>
      </c>
      <c r="D8" s="19">
        <f t="shared" si="0"/>
        <v>5.99</v>
      </c>
      <c r="F8" s="6" t="s">
        <v>56</v>
      </c>
      <c r="G8" s="19">
        <v>219</v>
      </c>
      <c r="H8" s="1">
        <v>2</v>
      </c>
      <c r="I8" s="19">
        <f t="shared" si="1"/>
        <v>438</v>
      </c>
    </row>
    <row r="9" spans="1:12" x14ac:dyDescent="0.2">
      <c r="A9" s="6" t="s">
        <v>23</v>
      </c>
      <c r="B9" s="19">
        <v>3.49</v>
      </c>
      <c r="C9" s="1">
        <v>1</v>
      </c>
      <c r="D9" s="19">
        <f t="shared" si="0"/>
        <v>3.49</v>
      </c>
      <c r="F9" s="6"/>
      <c r="G9" s="19"/>
      <c r="H9" s="1"/>
      <c r="I9" s="19">
        <f t="shared" si="1"/>
        <v>0</v>
      </c>
    </row>
    <row r="10" spans="1:12" x14ac:dyDescent="0.2">
      <c r="A10" s="6" t="s">
        <v>24</v>
      </c>
      <c r="B10" s="19">
        <v>4.49</v>
      </c>
      <c r="C10" s="1">
        <v>1</v>
      </c>
      <c r="D10" s="19">
        <f t="shared" si="0"/>
        <v>4.49</v>
      </c>
      <c r="F10" s="6"/>
      <c r="G10" s="19"/>
      <c r="H10" s="1"/>
      <c r="I10" s="19">
        <f t="shared" si="1"/>
        <v>0</v>
      </c>
    </row>
    <row r="11" spans="1:12" x14ac:dyDescent="0.2">
      <c r="A11" s="17" t="s">
        <v>25</v>
      </c>
      <c r="B11" s="21">
        <v>3.49</v>
      </c>
      <c r="C11" s="18">
        <v>1</v>
      </c>
      <c r="D11" s="21">
        <f t="shared" si="0"/>
        <v>3.49</v>
      </c>
      <c r="F11" s="6"/>
      <c r="G11" s="19"/>
      <c r="H11" s="1"/>
      <c r="I11" s="19">
        <f t="shared" si="1"/>
        <v>0</v>
      </c>
    </row>
    <row r="12" spans="1:12" x14ac:dyDescent="0.2">
      <c r="A12" s="6"/>
      <c r="B12" s="19"/>
      <c r="C12" s="1"/>
      <c r="D12" s="19">
        <f t="shared" si="0"/>
        <v>0</v>
      </c>
      <c r="F12" s="6"/>
      <c r="G12" s="19"/>
      <c r="H12" s="1"/>
      <c r="I12" s="19">
        <f t="shared" si="1"/>
        <v>0</v>
      </c>
    </row>
    <row r="13" spans="1:12" x14ac:dyDescent="0.2">
      <c r="A13" s="6"/>
      <c r="B13" s="19"/>
      <c r="C13" s="1"/>
      <c r="D13" s="19">
        <f t="shared" si="0"/>
        <v>0</v>
      </c>
      <c r="F13" s="6"/>
      <c r="G13" s="19"/>
      <c r="H13" s="1"/>
      <c r="I13" s="19">
        <f t="shared" si="1"/>
        <v>0</v>
      </c>
    </row>
    <row r="14" spans="1:12" x14ac:dyDescent="0.2">
      <c r="A14" s="6"/>
      <c r="B14" s="19"/>
      <c r="C14" s="1"/>
      <c r="D14" s="19">
        <f t="shared" si="0"/>
        <v>0</v>
      </c>
      <c r="F14" s="6"/>
      <c r="G14" s="19"/>
      <c r="H14" s="1"/>
      <c r="I14" s="19">
        <f t="shared" si="1"/>
        <v>0</v>
      </c>
    </row>
    <row r="15" spans="1:12" x14ac:dyDescent="0.2">
      <c r="A15" s="6"/>
      <c r="B15" s="19"/>
      <c r="C15" s="1"/>
      <c r="D15" s="19">
        <f t="shared" si="0"/>
        <v>0</v>
      </c>
      <c r="F15" s="6"/>
      <c r="G15" s="19"/>
      <c r="H15" s="1"/>
      <c r="I15" s="19">
        <f t="shared" si="1"/>
        <v>0</v>
      </c>
    </row>
    <row r="16" spans="1:12" x14ac:dyDescent="0.2">
      <c r="A16" s="6"/>
      <c r="B16" s="19"/>
      <c r="C16" s="1"/>
      <c r="D16" s="19">
        <f t="shared" si="0"/>
        <v>0</v>
      </c>
      <c r="F16" s="6"/>
      <c r="G16" s="19"/>
      <c r="H16" s="1"/>
      <c r="I16" s="19">
        <f t="shared" si="1"/>
        <v>0</v>
      </c>
    </row>
    <row r="17" spans="1:9" x14ac:dyDescent="0.2">
      <c r="A17" s="6"/>
      <c r="B17" s="19"/>
      <c r="C17" s="1"/>
      <c r="D17" s="19">
        <f t="shared" si="0"/>
        <v>0</v>
      </c>
      <c r="F17" s="6"/>
      <c r="G17" s="19"/>
      <c r="H17" s="1"/>
      <c r="I17" s="19">
        <f t="shared" si="1"/>
        <v>0</v>
      </c>
    </row>
    <row r="18" spans="1:9" x14ac:dyDescent="0.2">
      <c r="A18" s="6"/>
      <c r="B18" s="19"/>
      <c r="C18" s="1"/>
      <c r="D18" s="19">
        <f t="shared" si="0"/>
        <v>0</v>
      </c>
      <c r="F18" s="6"/>
      <c r="G18" s="19"/>
      <c r="H18" s="1"/>
      <c r="I18" s="19">
        <f t="shared" si="1"/>
        <v>0</v>
      </c>
    </row>
    <row r="19" spans="1:9" x14ac:dyDescent="0.2">
      <c r="A19" s="6"/>
      <c r="B19" s="19"/>
      <c r="C19" s="1"/>
      <c r="D19" s="19">
        <f t="shared" si="0"/>
        <v>0</v>
      </c>
      <c r="F19" s="6"/>
      <c r="G19" s="19"/>
      <c r="H19" s="1"/>
      <c r="I19" s="19">
        <f t="shared" si="1"/>
        <v>0</v>
      </c>
    </row>
    <row r="20" spans="1:9" x14ac:dyDescent="0.2">
      <c r="A20" s="6"/>
      <c r="B20" s="19"/>
      <c r="C20" s="1"/>
      <c r="D20" s="19">
        <f t="shared" si="0"/>
        <v>0</v>
      </c>
      <c r="F20" s="6"/>
      <c r="G20" s="19"/>
      <c r="H20" s="1"/>
      <c r="I20" s="19">
        <f t="shared" si="1"/>
        <v>0</v>
      </c>
    </row>
    <row r="21" spans="1:9" x14ac:dyDescent="0.2">
      <c r="A21" s="6"/>
      <c r="B21" s="19"/>
      <c r="C21" s="1"/>
      <c r="D21" s="19">
        <f t="shared" si="0"/>
        <v>0</v>
      </c>
      <c r="F21" s="6"/>
      <c r="G21" s="19"/>
      <c r="H21" s="1"/>
      <c r="I21" s="19">
        <f t="shared" si="1"/>
        <v>0</v>
      </c>
    </row>
    <row r="22" spans="1:9" x14ac:dyDescent="0.2">
      <c r="A22" s="6"/>
      <c r="B22" s="19"/>
      <c r="C22" s="1"/>
      <c r="D22" s="19">
        <f t="shared" si="0"/>
        <v>0</v>
      </c>
      <c r="F22" s="6"/>
      <c r="G22" s="19"/>
      <c r="H22" s="1"/>
      <c r="I22" s="19">
        <f t="shared" si="1"/>
        <v>0</v>
      </c>
    </row>
    <row r="23" spans="1:9" x14ac:dyDescent="0.2">
      <c r="A23" s="6"/>
      <c r="B23" s="19"/>
      <c r="C23" s="1"/>
      <c r="D23" s="19">
        <f t="shared" si="0"/>
        <v>0</v>
      </c>
      <c r="F23" s="6"/>
      <c r="G23" s="19"/>
      <c r="H23" s="1"/>
      <c r="I23" s="19">
        <f t="shared" si="1"/>
        <v>0</v>
      </c>
    </row>
    <row r="24" spans="1:9" x14ac:dyDescent="0.2">
      <c r="A24" s="6"/>
      <c r="B24" s="19"/>
      <c r="C24" s="1"/>
      <c r="D24" s="19">
        <f t="shared" si="0"/>
        <v>0</v>
      </c>
      <c r="F24" s="6"/>
      <c r="G24" s="19"/>
      <c r="H24" s="1"/>
      <c r="I24" s="19">
        <f t="shared" si="1"/>
        <v>0</v>
      </c>
    </row>
    <row r="25" spans="1:9" x14ac:dyDescent="0.2">
      <c r="A25" s="6"/>
      <c r="B25" s="19"/>
      <c r="C25" s="1"/>
      <c r="D25" s="19">
        <f t="shared" si="0"/>
        <v>0</v>
      </c>
      <c r="F25" s="6"/>
      <c r="G25" s="19"/>
      <c r="H25" s="1"/>
      <c r="I25" s="19">
        <f t="shared" si="1"/>
        <v>0</v>
      </c>
    </row>
    <row r="26" spans="1:9" x14ac:dyDescent="0.2">
      <c r="A26" s="6"/>
      <c r="B26" s="19"/>
      <c r="C26" s="1"/>
      <c r="D26" s="19">
        <f t="shared" si="0"/>
        <v>0</v>
      </c>
      <c r="F26" s="6"/>
      <c r="G26" s="19"/>
      <c r="H26" s="1"/>
      <c r="I26" s="19">
        <f t="shared" si="1"/>
        <v>0</v>
      </c>
    </row>
    <row r="27" spans="1:9" x14ac:dyDescent="0.2">
      <c r="A27" s="6"/>
      <c r="B27" s="19"/>
      <c r="C27" s="1"/>
      <c r="D27" s="19">
        <f t="shared" si="0"/>
        <v>0</v>
      </c>
      <c r="F27" s="6"/>
      <c r="G27" s="19"/>
      <c r="H27" s="1"/>
      <c r="I27" s="19">
        <f t="shared" si="1"/>
        <v>0</v>
      </c>
    </row>
    <row r="28" spans="1:9" x14ac:dyDescent="0.2">
      <c r="A28" s="6"/>
      <c r="B28" s="19"/>
      <c r="C28" s="1"/>
      <c r="D28" s="19">
        <f t="shared" si="0"/>
        <v>0</v>
      </c>
      <c r="F28" s="6"/>
      <c r="G28" s="19"/>
      <c r="H28" s="1"/>
      <c r="I28" s="19">
        <f t="shared" si="1"/>
        <v>0</v>
      </c>
    </row>
    <row r="29" spans="1:9" ht="17" thickBot="1" x14ac:dyDescent="0.25">
      <c r="A29" s="23"/>
      <c r="B29" s="24"/>
      <c r="C29" s="25"/>
      <c r="D29" s="24">
        <f t="shared" si="0"/>
        <v>0</v>
      </c>
      <c r="F29" s="23"/>
      <c r="G29" s="24"/>
      <c r="H29" s="25"/>
      <c r="I29" s="24">
        <f t="shared" si="1"/>
        <v>0</v>
      </c>
    </row>
    <row r="30" spans="1:9" x14ac:dyDescent="0.2">
      <c r="A30" s="22"/>
      <c r="B30" s="19"/>
      <c r="C30" s="22" t="s">
        <v>46</v>
      </c>
      <c r="D30" s="19">
        <f>SUM(D2:D29)</f>
        <v>48.490000000000009</v>
      </c>
      <c r="F30" s="22"/>
      <c r="G30" s="28"/>
      <c r="H30" s="22" t="s">
        <v>14</v>
      </c>
      <c r="I30" s="19">
        <f>SUM(I2:I29)</f>
        <v>527.95000000000005</v>
      </c>
    </row>
    <row r="31" spans="1:9" x14ac:dyDescent="0.2">
      <c r="A31" s="22"/>
      <c r="B31" s="19"/>
      <c r="C31" s="22" t="s">
        <v>47</v>
      </c>
      <c r="D31" s="19">
        <v>5.99</v>
      </c>
      <c r="F31" s="22"/>
      <c r="G31" s="19"/>
      <c r="H31" s="22" t="s">
        <v>50</v>
      </c>
      <c r="I31" s="19">
        <f>(SUM(I2:I6))*0.07</f>
        <v>5.8772000000000011</v>
      </c>
    </row>
    <row r="32" spans="1:9" x14ac:dyDescent="0.2">
      <c r="A32" s="22"/>
      <c r="B32" s="19"/>
      <c r="C32" s="26" t="s">
        <v>45</v>
      </c>
      <c r="D32" s="27">
        <f>SUM(D30:D31)</f>
        <v>54.480000000000011</v>
      </c>
      <c r="F32" s="22"/>
      <c r="G32" s="19"/>
      <c r="H32" s="26" t="s">
        <v>51</v>
      </c>
      <c r="I32" s="27">
        <f>SUM(I30:I31)</f>
        <v>533.82720000000006</v>
      </c>
    </row>
    <row r="33" spans="1:9" x14ac:dyDescent="0.2">
      <c r="A33" s="12" t="s">
        <v>32</v>
      </c>
      <c r="I33" s="35"/>
    </row>
    <row r="34" spans="1:9" x14ac:dyDescent="0.2">
      <c r="A34" s="12" t="s">
        <v>34</v>
      </c>
      <c r="I34" s="35"/>
    </row>
    <row r="35" spans="1:9" x14ac:dyDescent="0.2">
      <c r="D35" s="35"/>
    </row>
    <row r="36" spans="1:9" x14ac:dyDescent="0.2">
      <c r="D36" s="3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 Seed Starting Information</vt:lpstr>
      <vt:lpstr>2026 Season Costs</vt:lpstr>
      <vt:lpstr>2025 Seed Starting Information</vt:lpstr>
      <vt:lpstr>2025 Season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Jamison Hill</cp:lastModifiedBy>
  <dcterms:created xsi:type="dcterms:W3CDTF">2024-12-27T21:00:58Z</dcterms:created>
  <dcterms:modified xsi:type="dcterms:W3CDTF">2026-02-25T01:25:58Z</dcterms:modified>
</cp:coreProperties>
</file>